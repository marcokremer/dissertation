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DieseArbeitsmappe" defaultThemeVersion="124226"/>
  <bookViews>
    <workbookView xWindow="240" yWindow="45" windowWidth="11760" windowHeight="5580" activeTab="2"/>
  </bookViews>
  <sheets>
    <sheet name="Grundspiele" sheetId="1" r:id="rId1"/>
    <sheet name="Matrix" sheetId="2" r:id="rId2"/>
    <sheet name="Experimentübersicht" sheetId="5" r:id="rId3"/>
    <sheet name="Berechnung" sheetId="3" r:id="rId4"/>
    <sheet name="Ergebnis" sheetId="6" r:id="rId5"/>
    <sheet name="Tabelle1" sheetId="14" r:id="rId6"/>
  </sheets>
  <functionGroups builtInGroupCount="17"/>
  <definedNames>
    <definedName name="Auswahl">Matrix!$F$20:$F$21</definedName>
    <definedName name="Liste">Matrix!$B$20:$B$25</definedName>
    <definedName name="Spiele">Matrix!$B$20:$B$25</definedName>
  </definedNames>
  <calcPr calcId="145621"/>
</workbook>
</file>

<file path=xl/calcChain.xml><?xml version="1.0" encoding="utf-8"?>
<calcChain xmlns="http://schemas.openxmlformats.org/spreadsheetml/2006/main">
  <c r="E19" i="1" l="1"/>
  <c r="D19" i="1"/>
  <c r="C19" i="1"/>
  <c r="D18" i="1"/>
  <c r="C18" i="1"/>
  <c r="B18" i="1"/>
  <c r="C40" i="1" l="1"/>
  <c r="B40" i="1"/>
  <c r="E39" i="1"/>
  <c r="D39" i="1"/>
  <c r="E40" i="1"/>
  <c r="D40" i="1"/>
  <c r="C39" i="1"/>
  <c r="B39" i="1"/>
</calcChain>
</file>

<file path=xl/sharedStrings.xml><?xml version="1.0" encoding="utf-8"?>
<sst xmlns="http://schemas.openxmlformats.org/spreadsheetml/2006/main" count="686" uniqueCount="116">
  <si>
    <t>Spiel</t>
  </si>
  <si>
    <t>Chicken</t>
  </si>
  <si>
    <t>Throwing Fingers</t>
  </si>
  <si>
    <t>Falke-Taube</t>
  </si>
  <si>
    <t>Anz Strat</t>
  </si>
  <si>
    <t>Spieler</t>
  </si>
  <si>
    <t>Battle of the Sexes</t>
  </si>
  <si>
    <t>Stackelbergs Leadership</t>
  </si>
  <si>
    <t>Prisoners Dilemma</t>
  </si>
  <si>
    <t>R</t>
  </si>
  <si>
    <t>S</t>
  </si>
  <si>
    <t>P</t>
  </si>
  <si>
    <t>Weitere Variablen</t>
  </si>
  <si>
    <t>Zeit/Seite</t>
  </si>
  <si>
    <t>in s</t>
  </si>
  <si>
    <t>zufälliger</t>
  </si>
  <si>
    <t>Spieltyp?</t>
  </si>
  <si>
    <t>ja</t>
  </si>
  <si>
    <t>nein</t>
  </si>
  <si>
    <t xml:space="preserve">Anz </t>
  </si>
  <si>
    <t>Dateien</t>
  </si>
  <si>
    <t>1/2,1/2</t>
  </si>
  <si>
    <t>1/3,2/3</t>
  </si>
  <si>
    <t>inverse Nachfragefunktion: P(Q) = a – bQ mit Q=q1+q2</t>
  </si>
  <si>
    <t>Kosten: C(qi)=c*qi mit c konst. Grenzkosten</t>
  </si>
  <si>
    <t xml:space="preserve">dann ist q1=q2=(a-c)/3b bei Cournot und </t>
  </si>
  <si>
    <t>optimale Produktion</t>
  </si>
  <si>
    <t>q1* = (a – c)/2b und q2* = (a – c)/4b bei Stackelberg, wenn q1 Prod.-Menge Stackelberg-Führer ist</t>
  </si>
  <si>
    <t>Spezialform von Falke-Taube</t>
  </si>
  <si>
    <t>V</t>
  </si>
  <si>
    <t>D</t>
  </si>
  <si>
    <t>W</t>
  </si>
  <si>
    <t>(F,T) und (T,F), wenn W&lt;V&lt;D</t>
  </si>
  <si>
    <t>(F,F), wenn D&lt;V</t>
  </si>
  <si>
    <t>(T,T), wenn V&lt;W</t>
  </si>
  <si>
    <t>(F,F) und (T,T), wenn D&lt;V&lt;W</t>
  </si>
  <si>
    <t>zitiert aus: Vorlesung 06/07 J. Weimann, Lehrstuhl WiPo an der O.v.Guericke Uni Magdbg</t>
  </si>
  <si>
    <t>Hier macht eine größere Matrix aufgrund des Spielgedankens keinen Sinn</t>
  </si>
  <si>
    <t>Stackelberg's Leadership</t>
  </si>
  <si>
    <t>Prisoner's Dilemma</t>
  </si>
  <si>
    <t>beschränkung</t>
  </si>
  <si>
    <t>mit Zeit-</t>
  </si>
  <si>
    <t>id</t>
  </si>
  <si>
    <t>expname</t>
  </si>
  <si>
    <t>subject</t>
  </si>
  <si>
    <t>ip</t>
  </si>
  <si>
    <t>condnum</t>
  </si>
  <si>
    <t>choice</t>
  </si>
  <si>
    <t>submitted</t>
  </si>
  <si>
    <t>event</t>
  </si>
  <si>
    <t>2strategien</t>
  </si>
  <si>
    <t>::1</t>
  </si>
  <si>
    <t>btn1</t>
  </si>
  <si>
    <t>0_1</t>
  </si>
  <si>
    <t>1_1</t>
  </si>
  <si>
    <t>onclick</t>
  </si>
  <si>
    <t>mouseout</t>
  </si>
  <si>
    <t>1_0</t>
  </si>
  <si>
    <t>btn2</t>
  </si>
  <si>
    <t>Sheet Exp-</t>
  </si>
  <si>
    <t>Daten</t>
  </si>
  <si>
    <t>Auswertung</t>
  </si>
  <si>
    <t>Experiment</t>
  </si>
  <si>
    <t>Feedback - Zusammenfassung</t>
  </si>
  <si>
    <t>Zeit</t>
  </si>
  <si>
    <t>Experimentübersicht</t>
  </si>
  <si>
    <t>Experiment-id</t>
  </si>
  <si>
    <t>DateiNr</t>
  </si>
  <si>
    <t>Spieltyp</t>
  </si>
  <si>
    <t>Zufallszahl</t>
  </si>
  <si>
    <t>SpielerAnz</t>
  </si>
  <si>
    <t>Spalten</t>
  </si>
  <si>
    <t>Zeilen</t>
  </si>
  <si>
    <t>Strategie (Ur-Matrix)</t>
  </si>
  <si>
    <t>Spiel-ID</t>
  </si>
  <si>
    <t>Ergebnis absolut</t>
  </si>
  <si>
    <t>Durchschnittsergebnis</t>
  </si>
  <si>
    <t>Ergebnis relativ</t>
  </si>
  <si>
    <t>Spieler-ID</t>
  </si>
  <si>
    <t>Anzahl Spiele</t>
  </si>
  <si>
    <t>Ergebnis</t>
  </si>
  <si>
    <t xml:space="preserve">Ergebnis Experiment-Serie </t>
  </si>
  <si>
    <t>lfd. Nr.</t>
  </si>
  <si>
    <t>Durchschnitt</t>
  </si>
  <si>
    <r>
      <rPr>
        <b/>
        <sz val="8"/>
        <color theme="1"/>
        <rFont val="Arial"/>
        <family val="2"/>
      </rPr>
      <t>verwendete</t>
    </r>
    <r>
      <rPr>
        <b/>
        <sz val="12"/>
        <color theme="1"/>
        <rFont val="Arial"/>
        <family val="2"/>
      </rPr>
      <t xml:space="preserve"> Zufallszahl</t>
    </r>
  </si>
  <si>
    <t>Datei 1</t>
  </si>
  <si>
    <t>1_2x2_2.php</t>
  </si>
  <si>
    <t>Datei 2</t>
  </si>
  <si>
    <t>2_2x2_2.php</t>
  </si>
  <si>
    <t>Datei 3</t>
  </si>
  <si>
    <t>3_2x2_2.php</t>
  </si>
  <si>
    <t>Datei 4</t>
  </si>
  <si>
    <t>4_2x2_2.php</t>
  </si>
  <si>
    <t>Datei 5</t>
  </si>
  <si>
    <t>5_2x2_2.php</t>
  </si>
  <si>
    <t>name</t>
  </si>
  <si>
    <t>value</t>
  </si>
  <si>
    <t>time</t>
  </si>
  <si>
    <t>onload</t>
  </si>
  <si>
    <t>body</t>
  </si>
  <si>
    <t>random</t>
  </si>
  <si>
    <t>order</t>
  </si>
  <si>
    <t>col</t>
  </si>
  <si>
    <t>row</t>
  </si>
  <si>
    <t>events</t>
  </si>
  <si>
    <t>open_close</t>
  </si>
  <si>
    <t>click</t>
  </si>
  <si>
    <t>b0</t>
  </si>
  <si>
    <t>a0</t>
  </si>
  <si>
    <t>a1</t>
  </si>
  <si>
    <t>b1</t>
  </si>
  <si>
    <t>mouseover</t>
  </si>
  <si>
    <t>Strategie 1</t>
  </si>
  <si>
    <t>submit</t>
  </si>
  <si>
    <t>erwartung</t>
  </si>
  <si>
    <t>Strategie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</si>
</sst>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color theme="1"/>
      <name val="Arial"/>
      <family val="2"/>
    </font>
    <font>
      <sz val="10"/>
      <color rgb="FF000000"/>
      <name val="Arial"/>
      <family val="2"/>
    </font>
    <font>
      <sz val="12"/>
      <color theme="1"/>
      <name val="Arial"/>
      <family val="2"/>
    </font>
    <font>
      <u/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4">
    <xf numFmtId="0" fontId="0" fillId="0" borderId="0" xfId="0"/>
    <xf numFmtId="0" fontId="0" fillId="0" borderId="1" xfId="0" applyBorder="1"/>
    <xf numFmtId="0" fontId="0" fillId="0" borderId="4" xfId="0" applyBorder="1"/>
    <xf numFmtId="0" fontId="2" fillId="3" borderId="14" xfId="0" quotePrefix="1" applyFont="1" applyFill="1" applyBorder="1" applyProtection="1">
      <protection locked="0"/>
    </xf>
    <xf numFmtId="0" fontId="2" fillId="4" borderId="9" xfId="0" applyFont="1" applyFill="1" applyBorder="1" applyProtection="1">
      <protection locked="0"/>
    </xf>
    <xf numFmtId="0" fontId="2" fillId="3" borderId="9" xfId="0" quotePrefix="1" applyFont="1" applyFill="1" applyBorder="1" applyProtection="1">
      <protection locked="0"/>
    </xf>
    <xf numFmtId="0" fontId="2" fillId="3" borderId="9" xfId="0" applyFont="1" applyFill="1" applyBorder="1" applyProtection="1">
      <protection locked="0"/>
    </xf>
    <xf numFmtId="0" fontId="2" fillId="4" borderId="10" xfId="0" applyFont="1" applyFill="1" applyBorder="1" applyProtection="1">
      <protection locked="0"/>
    </xf>
    <xf numFmtId="0" fontId="2" fillId="3" borderId="15" xfId="0" applyFont="1" applyFill="1" applyBorder="1" applyProtection="1">
      <protection locked="0"/>
    </xf>
    <xf numFmtId="0" fontId="2" fillId="4" borderId="8" xfId="0" applyFont="1" applyFill="1" applyBorder="1" applyProtection="1">
      <protection locked="0"/>
    </xf>
    <xf numFmtId="0" fontId="2" fillId="3" borderId="8" xfId="0" quotePrefix="1" applyFont="1" applyFill="1" applyBorder="1" applyProtection="1">
      <protection locked="0"/>
    </xf>
    <xf numFmtId="0" fontId="2" fillId="3" borderId="8" xfId="0" applyFont="1" applyFill="1" applyBorder="1" applyProtection="1">
      <protection locked="0"/>
    </xf>
    <xf numFmtId="0" fontId="2" fillId="4" borderId="11" xfId="0" applyFont="1" applyFill="1" applyBorder="1" applyProtection="1">
      <protection locked="0"/>
    </xf>
    <xf numFmtId="0" fontId="2" fillId="3" borderId="19" xfId="0" applyFont="1" applyFill="1" applyBorder="1" applyProtection="1">
      <protection locked="0"/>
    </xf>
    <xf numFmtId="0" fontId="2" fillId="4" borderId="17" xfId="0" applyFont="1" applyFill="1" applyBorder="1" applyProtection="1">
      <protection locked="0"/>
    </xf>
    <xf numFmtId="0" fontId="2" fillId="3" borderId="17" xfId="0" applyFont="1" applyFill="1" applyBorder="1" applyProtection="1">
      <protection locked="0"/>
    </xf>
    <xf numFmtId="0" fontId="2" fillId="4" borderId="18" xfId="0" applyFont="1" applyFill="1" applyBorder="1" applyProtection="1">
      <protection locked="0"/>
    </xf>
    <xf numFmtId="0" fontId="2" fillId="3" borderId="14" xfId="0" applyFont="1" applyFill="1" applyBorder="1" applyProtection="1">
      <protection locked="0"/>
    </xf>
    <xf numFmtId="0" fontId="2" fillId="3" borderId="16" xfId="0" applyFont="1" applyFill="1" applyBorder="1" applyProtection="1">
      <protection locked="0"/>
    </xf>
    <xf numFmtId="0" fontId="2" fillId="4" borderId="12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2" fillId="4" borderId="13" xfId="0" applyFont="1" applyFill="1" applyBorder="1" applyProtection="1">
      <protection locked="0"/>
    </xf>
    <xf numFmtId="0" fontId="2" fillId="3" borderId="15" xfId="0" quotePrefix="1" applyFont="1" applyFill="1" applyBorder="1" applyProtection="1">
      <protection locked="0"/>
    </xf>
    <xf numFmtId="0" fontId="2" fillId="3" borderId="14" xfId="0" applyFont="1" applyFill="1" applyBorder="1" applyAlignment="1" applyProtection="1">
      <alignment horizontal="right"/>
      <protection locked="0"/>
    </xf>
    <xf numFmtId="0" fontId="0" fillId="0" borderId="0" xfId="0" applyProtection="1">
      <protection hidden="1"/>
    </xf>
    <xf numFmtId="0" fontId="0" fillId="2" borderId="0" xfId="0" applyFill="1" applyProtection="1"/>
    <xf numFmtId="0" fontId="0" fillId="0" borderId="0" xfId="0" applyProtection="1"/>
    <xf numFmtId="0" fontId="2" fillId="5" borderId="7" xfId="0" applyFont="1" applyFill="1" applyBorder="1" applyProtection="1"/>
    <xf numFmtId="0" fontId="2" fillId="5" borderId="2" xfId="0" applyFont="1" applyFill="1" applyBorder="1" applyProtection="1"/>
    <xf numFmtId="0" fontId="0" fillId="5" borderId="2" xfId="0" applyFill="1" applyBorder="1" applyProtection="1"/>
    <xf numFmtId="0" fontId="0" fillId="5" borderId="3" xfId="0" applyFill="1" applyBorder="1" applyProtection="1"/>
    <xf numFmtId="0" fontId="2" fillId="5" borderId="20" xfId="0" applyFont="1" applyFill="1" applyBorder="1" applyProtection="1"/>
    <xf numFmtId="0" fontId="4" fillId="7" borderId="0" xfId="0" applyFont="1" applyFill="1" applyBorder="1" applyProtection="1"/>
    <xf numFmtId="0" fontId="2" fillId="5" borderId="0" xfId="0" applyFont="1" applyFill="1" applyBorder="1" applyProtection="1"/>
    <xf numFmtId="0" fontId="3" fillId="5" borderId="22" xfId="0" applyFont="1" applyFill="1" applyBorder="1" applyProtection="1"/>
    <xf numFmtId="0" fontId="0" fillId="5" borderId="21" xfId="0" applyFill="1" applyBorder="1" applyProtection="1"/>
    <xf numFmtId="0" fontId="2" fillId="5" borderId="24" xfId="0" applyFont="1" applyFill="1" applyBorder="1" applyProtection="1"/>
    <xf numFmtId="0" fontId="2" fillId="2" borderId="23" xfId="0" applyFont="1" applyFill="1" applyBorder="1" applyProtection="1"/>
    <xf numFmtId="0" fontId="2" fillId="2" borderId="24" xfId="0" applyFont="1" applyFill="1" applyBorder="1" applyProtection="1"/>
    <xf numFmtId="0" fontId="2" fillId="2" borderId="25" xfId="0" applyFont="1" applyFill="1" applyBorder="1" applyProtection="1"/>
    <xf numFmtId="0" fontId="2" fillId="6" borderId="0" xfId="0" applyFont="1" applyFill="1" applyBorder="1" applyProtection="1"/>
    <xf numFmtId="0" fontId="2" fillId="5" borderId="5" xfId="0" applyFont="1" applyFill="1" applyBorder="1" applyProtection="1"/>
    <xf numFmtId="0" fontId="2" fillId="5" borderId="22" xfId="0" applyFont="1" applyFill="1" applyBorder="1" applyProtection="1"/>
    <xf numFmtId="0" fontId="0" fillId="5" borderId="6" xfId="0" applyFill="1" applyBorder="1" applyProtection="1"/>
    <xf numFmtId="0" fontId="0" fillId="2" borderId="0" xfId="0" applyFill="1"/>
    <xf numFmtId="0" fontId="0" fillId="5" borderId="0" xfId="0" applyFill="1"/>
    <xf numFmtId="0" fontId="0" fillId="2" borderId="8" xfId="0" applyFill="1" applyBorder="1"/>
    <xf numFmtId="0" fontId="0" fillId="4" borderId="8" xfId="0" applyFill="1" applyBorder="1"/>
    <xf numFmtId="0" fontId="0" fillId="2" borderId="30" xfId="0" applyFill="1" applyBorder="1"/>
    <xf numFmtId="0" fontId="0" fillId="4" borderId="9" xfId="0" applyFill="1" applyBorder="1"/>
    <xf numFmtId="0" fontId="0" fillId="2" borderId="9" xfId="0" applyFill="1" applyBorder="1"/>
    <xf numFmtId="0" fontId="0" fillId="4" borderId="10" xfId="0" applyFill="1" applyBorder="1"/>
    <xf numFmtId="0" fontId="0" fillId="2" borderId="31" xfId="0" applyFill="1" applyBorder="1"/>
    <xf numFmtId="0" fontId="0" fillId="4" borderId="11" xfId="0" applyFill="1" applyBorder="1"/>
    <xf numFmtId="0" fontId="0" fillId="2" borderId="32" xfId="0" applyFill="1" applyBorder="1"/>
    <xf numFmtId="0" fontId="0" fillId="4" borderId="12" xfId="0" applyFill="1" applyBorder="1"/>
    <xf numFmtId="0" fontId="0" fillId="2" borderId="12" xfId="0" applyFill="1" applyBorder="1"/>
    <xf numFmtId="0" fontId="0" fillId="4" borderId="13" xfId="0" applyFill="1" applyBorder="1"/>
    <xf numFmtId="0" fontId="0" fillId="0" borderId="31" xfId="0" applyBorder="1"/>
    <xf numFmtId="0" fontId="0" fillId="0" borderId="32" xfId="0" applyBorder="1"/>
    <xf numFmtId="0" fontId="0" fillId="0" borderId="12" xfId="0" applyBorder="1"/>
    <xf numFmtId="22" fontId="0" fillId="0" borderId="0" xfId="0" applyNumberFormat="1"/>
    <xf numFmtId="0" fontId="0" fillId="2" borderId="23" xfId="0" applyFill="1" applyBorder="1"/>
    <xf numFmtId="0" fontId="0" fillId="2" borderId="8" xfId="0" applyFill="1" applyBorder="1" applyAlignment="1">
      <alignment horizontal="right"/>
    </xf>
    <xf numFmtId="0" fontId="0" fillId="2" borderId="29" xfId="0" applyFill="1" applyBorder="1" applyAlignment="1">
      <alignment horizontal="right"/>
    </xf>
    <xf numFmtId="0" fontId="0" fillId="2" borderId="25" xfId="0" applyFill="1" applyBorder="1"/>
    <xf numFmtId="0" fontId="0" fillId="0" borderId="20" xfId="0" applyBorder="1"/>
    <xf numFmtId="0" fontId="0" fillId="0" borderId="0" xfId="0" applyBorder="1"/>
    <xf numFmtId="0" fontId="0" fillId="0" borderId="5" xfId="0" applyBorder="1"/>
    <xf numFmtId="0" fontId="0" fillId="0" borderId="22" xfId="0" applyBorder="1"/>
    <xf numFmtId="0" fontId="0" fillId="0" borderId="8" xfId="0" applyBorder="1"/>
    <xf numFmtId="0" fontId="0" fillId="0" borderId="33" xfId="0" applyBorder="1"/>
    <xf numFmtId="0" fontId="0" fillId="0" borderId="34" xfId="0" applyBorder="1"/>
    <xf numFmtId="2" fontId="0" fillId="2" borderId="12" xfId="0" applyNumberFormat="1" applyFill="1" applyBorder="1"/>
    <xf numFmtId="0" fontId="0" fillId="4" borderId="12" xfId="0" applyNumberFormat="1" applyFill="1" applyBorder="1"/>
    <xf numFmtId="0" fontId="0" fillId="4" borderId="26" xfId="0" applyFill="1" applyBorder="1"/>
    <xf numFmtId="0" fontId="0" fillId="4" borderId="28" xfId="0" applyFill="1" applyBorder="1" applyAlignment="1">
      <alignment horizontal="right"/>
    </xf>
    <xf numFmtId="2" fontId="0" fillId="4" borderId="27" xfId="0" applyNumberFormat="1" applyFill="1" applyBorder="1"/>
    <xf numFmtId="0" fontId="0" fillId="0" borderId="30" xfId="0" applyBorder="1"/>
    <xf numFmtId="0" fontId="0" fillId="0" borderId="9" xfId="0" applyBorder="1"/>
    <xf numFmtId="0" fontId="0" fillId="4" borderId="34" xfId="0" applyFill="1" applyBorder="1"/>
    <xf numFmtId="0" fontId="0" fillId="4" borderId="35" xfId="0" applyFill="1" applyBorder="1"/>
    <xf numFmtId="0" fontId="0" fillId="5" borderId="7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20" xfId="0" applyFill="1" applyBorder="1"/>
    <xf numFmtId="0" fontId="0" fillId="5" borderId="0" xfId="0" applyFill="1" applyBorder="1"/>
    <xf numFmtId="0" fontId="5" fillId="8" borderId="0" xfId="0" applyFont="1" applyFill="1" applyBorder="1"/>
    <xf numFmtId="0" fontId="0" fillId="5" borderId="21" xfId="0" applyFill="1" applyBorder="1"/>
    <xf numFmtId="2" fontId="0" fillId="5" borderId="0" xfId="0" applyNumberFormat="1" applyFill="1" applyBorder="1"/>
    <xf numFmtId="0" fontId="5" fillId="5" borderId="0" xfId="0" applyFont="1" applyFill="1" applyBorder="1"/>
    <xf numFmtId="0" fontId="0" fillId="5" borderId="5" xfId="0" applyFill="1" applyBorder="1"/>
    <xf numFmtId="0" fontId="0" fillId="5" borderId="22" xfId="0" applyFill="1" applyBorder="1"/>
    <xf numFmtId="0" fontId="0" fillId="5" borderId="6" xfId="0" applyFill="1" applyBorder="1"/>
    <xf numFmtId="0" fontId="0" fillId="4" borderId="1" xfId="0" applyFill="1" applyBorder="1"/>
    <xf numFmtId="0" fontId="0" fillId="2" borderId="34" xfId="0" applyFill="1" applyBorder="1"/>
    <xf numFmtId="0" fontId="0" fillId="4" borderId="28" xfId="0" applyFill="1" applyBorder="1"/>
    <xf numFmtId="0" fontId="4" fillId="7" borderId="22" xfId="0" applyFont="1" applyFill="1" applyBorder="1" applyAlignment="1" applyProtection="1">
      <alignment horizontal="left"/>
    </xf>
    <xf numFmtId="0" fontId="4" fillId="8" borderId="0" xfId="0" applyFont="1" applyFill="1" applyBorder="1" applyAlignment="1">
      <alignment horizontal="left"/>
    </xf>
    <xf numFmtId="0" fontId="4" fillId="8" borderId="22" xfId="0" applyFont="1" applyFill="1" applyBorder="1" applyAlignment="1">
      <alignment horizontal="left"/>
    </xf>
    <xf numFmtId="0" fontId="0" fillId="2" borderId="30" xfId="0" applyFill="1" applyBorder="1" applyAlignment="1">
      <alignment horizontal="left" vertical="top"/>
    </xf>
    <xf numFmtId="0" fontId="0" fillId="2" borderId="31" xfId="0" applyFill="1" applyBorder="1" applyAlignment="1">
      <alignment horizontal="left" vertical="top"/>
    </xf>
    <xf numFmtId="0" fontId="4" fillId="8" borderId="7" xfId="0" applyFont="1" applyFill="1" applyBorder="1" applyAlignment="1">
      <alignment horizontal="center"/>
    </xf>
    <xf numFmtId="0" fontId="4" fillId="8" borderId="2" xfId="0" applyFont="1" applyFill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6</xdr:row>
          <xdr:rowOff>19050</xdr:rowOff>
        </xdr:from>
        <xdr:to>
          <xdr:col>13</xdr:col>
          <xdr:colOff>76200</xdr:colOff>
          <xdr:row>8</xdr:row>
          <xdr:rowOff>57150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Experiment erstellen</a:t>
              </a:r>
              <a:endParaRPr lang="de-DE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10</xdr:row>
          <xdr:rowOff>19050</xdr:rowOff>
        </xdr:from>
        <xdr:to>
          <xdr:col>13</xdr:col>
          <xdr:colOff>76200</xdr:colOff>
          <xdr:row>12</xdr:row>
          <xdr:rowOff>57150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Feedback</a:t>
              </a:r>
              <a:endParaRPr lang="de-DE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14</xdr:row>
          <xdr:rowOff>9525</xdr:rowOff>
        </xdr:from>
        <xdr:to>
          <xdr:col>13</xdr:col>
          <xdr:colOff>76200</xdr:colOff>
          <xdr:row>16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Contents</a:t>
              </a:r>
              <a:endParaRPr lang="de-DE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O46"/>
  <sheetViews>
    <sheetView zoomScale="85" zoomScaleNormal="85" workbookViewId="0">
      <selection activeCell="F19" sqref="F19"/>
    </sheetView>
  </sheetViews>
  <sheetFormatPr baseColWidth="10" defaultRowHeight="12.75" x14ac:dyDescent="0.2"/>
  <cols>
    <col min="1" max="12" width="11.42578125" style="24"/>
    <col min="13" max="13" width="107.140625" style="24" customWidth="1"/>
    <col min="14" max="16384" width="11.42578125" style="24"/>
  </cols>
  <sheetData>
    <row r="1" spans="1:15" ht="13.5" thickBot="1" x14ac:dyDescent="0.25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6"/>
    </row>
    <row r="2" spans="1:15" ht="15" x14ac:dyDescent="0.2">
      <c r="A2" s="27"/>
      <c r="B2" s="28"/>
      <c r="C2" s="29"/>
      <c r="D2" s="29"/>
      <c r="E2" s="29"/>
      <c r="F2" s="29"/>
      <c r="G2" s="29"/>
      <c r="H2" s="29"/>
      <c r="I2" s="29"/>
      <c r="J2" s="29"/>
      <c r="K2" s="29"/>
      <c r="L2" s="29"/>
      <c r="M2" s="28"/>
      <c r="N2" s="30"/>
      <c r="O2" s="25"/>
    </row>
    <row r="3" spans="1:15" ht="16.5" thickBot="1" x14ac:dyDescent="0.3">
      <c r="A3" s="31"/>
      <c r="B3" s="32" t="s">
        <v>1</v>
      </c>
      <c r="C3" s="33"/>
      <c r="D3" s="33"/>
      <c r="E3" s="33"/>
      <c r="F3" s="33"/>
      <c r="G3" s="33"/>
      <c r="H3" s="33"/>
      <c r="I3" s="33"/>
      <c r="J3" s="33"/>
      <c r="K3" s="33"/>
      <c r="L3" s="33"/>
      <c r="M3" s="34"/>
      <c r="N3" s="35"/>
      <c r="O3" s="25"/>
    </row>
    <row r="4" spans="1:15" ht="15" x14ac:dyDescent="0.2">
      <c r="A4" s="36"/>
      <c r="B4" s="3">
        <v>4</v>
      </c>
      <c r="C4" s="4">
        <v>4</v>
      </c>
      <c r="D4" s="5">
        <v>2</v>
      </c>
      <c r="E4" s="4">
        <v>6</v>
      </c>
      <c r="F4" s="6">
        <v>0</v>
      </c>
      <c r="G4" s="4">
        <v>0</v>
      </c>
      <c r="H4" s="6">
        <v>0</v>
      </c>
      <c r="I4" s="4">
        <v>0</v>
      </c>
      <c r="J4" s="6">
        <v>0</v>
      </c>
      <c r="K4" s="7">
        <v>0</v>
      </c>
      <c r="L4" s="33"/>
      <c r="M4" s="37" t="s">
        <v>28</v>
      </c>
      <c r="N4" s="35"/>
      <c r="O4" s="25"/>
    </row>
    <row r="5" spans="1:15" ht="15" x14ac:dyDescent="0.2">
      <c r="A5" s="36"/>
      <c r="B5" s="8">
        <v>6</v>
      </c>
      <c r="C5" s="9">
        <v>2</v>
      </c>
      <c r="D5" s="10">
        <v>0</v>
      </c>
      <c r="E5" s="9">
        <v>0</v>
      </c>
      <c r="F5" s="11">
        <v>0</v>
      </c>
      <c r="G5" s="9">
        <v>0</v>
      </c>
      <c r="H5" s="11">
        <v>0</v>
      </c>
      <c r="I5" s="9">
        <v>0</v>
      </c>
      <c r="J5" s="11">
        <v>0</v>
      </c>
      <c r="K5" s="12">
        <v>0</v>
      </c>
      <c r="L5" s="33"/>
      <c r="M5" s="38"/>
      <c r="N5" s="35"/>
      <c r="O5" s="25"/>
    </row>
    <row r="6" spans="1:15" ht="15" x14ac:dyDescent="0.2">
      <c r="A6" s="36"/>
      <c r="B6" s="8">
        <v>0</v>
      </c>
      <c r="C6" s="9">
        <v>0</v>
      </c>
      <c r="D6" s="11">
        <v>0</v>
      </c>
      <c r="E6" s="9">
        <v>0</v>
      </c>
      <c r="F6" s="11">
        <v>0</v>
      </c>
      <c r="G6" s="9">
        <v>0</v>
      </c>
      <c r="H6" s="11">
        <v>0</v>
      </c>
      <c r="I6" s="9">
        <v>0</v>
      </c>
      <c r="J6" s="11">
        <v>0</v>
      </c>
      <c r="K6" s="12">
        <v>0</v>
      </c>
      <c r="L6" s="33"/>
      <c r="M6" s="38"/>
      <c r="N6" s="35"/>
      <c r="O6" s="25"/>
    </row>
    <row r="7" spans="1:15" ht="15" x14ac:dyDescent="0.2">
      <c r="A7" s="36"/>
      <c r="B7" s="8">
        <v>0</v>
      </c>
      <c r="C7" s="9">
        <v>0</v>
      </c>
      <c r="D7" s="11">
        <v>0</v>
      </c>
      <c r="E7" s="9">
        <v>0</v>
      </c>
      <c r="F7" s="11">
        <v>0</v>
      </c>
      <c r="G7" s="9">
        <v>0</v>
      </c>
      <c r="H7" s="11">
        <v>0</v>
      </c>
      <c r="I7" s="9">
        <v>0</v>
      </c>
      <c r="J7" s="11">
        <v>0</v>
      </c>
      <c r="K7" s="12">
        <v>0</v>
      </c>
      <c r="L7" s="33"/>
      <c r="M7" s="38"/>
      <c r="N7" s="35"/>
      <c r="O7" s="25"/>
    </row>
    <row r="8" spans="1:15" ht="15.75" thickBot="1" x14ac:dyDescent="0.25">
      <c r="A8" s="36"/>
      <c r="B8" s="13">
        <v>0</v>
      </c>
      <c r="C8" s="14">
        <v>0</v>
      </c>
      <c r="D8" s="15">
        <v>0</v>
      </c>
      <c r="E8" s="14">
        <v>0</v>
      </c>
      <c r="F8" s="15">
        <v>0</v>
      </c>
      <c r="G8" s="14">
        <v>0</v>
      </c>
      <c r="H8" s="15">
        <v>0</v>
      </c>
      <c r="I8" s="14">
        <v>0</v>
      </c>
      <c r="J8" s="15">
        <v>0</v>
      </c>
      <c r="K8" s="16">
        <v>0</v>
      </c>
      <c r="L8" s="33"/>
      <c r="M8" s="39"/>
      <c r="N8" s="35"/>
      <c r="O8" s="25"/>
    </row>
    <row r="9" spans="1:15" ht="15" x14ac:dyDescent="0.2">
      <c r="A9" s="31"/>
      <c r="B9" s="28"/>
      <c r="C9" s="28"/>
      <c r="D9" s="28"/>
      <c r="E9" s="28"/>
      <c r="F9" s="28"/>
      <c r="G9" s="28"/>
      <c r="H9" s="28"/>
      <c r="I9" s="28"/>
      <c r="J9" s="28"/>
      <c r="K9" s="28"/>
      <c r="L9" s="33"/>
      <c r="M9" s="40"/>
      <c r="N9" s="35"/>
      <c r="O9" s="25"/>
    </row>
    <row r="10" spans="1:15" ht="16.5" thickBot="1" x14ac:dyDescent="0.3">
      <c r="A10" s="31"/>
      <c r="B10" s="97" t="s">
        <v>2</v>
      </c>
      <c r="C10" s="97"/>
      <c r="D10" s="33"/>
      <c r="E10" s="33"/>
      <c r="F10" s="33"/>
      <c r="G10" s="33"/>
      <c r="H10" s="33"/>
      <c r="I10" s="33"/>
      <c r="J10" s="33"/>
      <c r="K10" s="33"/>
      <c r="L10" s="33"/>
      <c r="M10" s="40"/>
      <c r="N10" s="35"/>
      <c r="O10" s="25"/>
    </row>
    <row r="11" spans="1:15" ht="15" x14ac:dyDescent="0.2">
      <c r="A11" s="36"/>
      <c r="B11" s="17">
        <v>1</v>
      </c>
      <c r="C11" s="4">
        <v>-1</v>
      </c>
      <c r="D11" s="6">
        <v>-1</v>
      </c>
      <c r="E11" s="4">
        <v>1</v>
      </c>
      <c r="F11" s="6">
        <v>0</v>
      </c>
      <c r="G11" s="4">
        <v>0</v>
      </c>
      <c r="H11" s="6">
        <v>0</v>
      </c>
      <c r="I11" s="4">
        <v>0</v>
      </c>
      <c r="J11" s="6">
        <v>0</v>
      </c>
      <c r="K11" s="7">
        <v>0</v>
      </c>
      <c r="L11" s="33"/>
      <c r="M11" s="37" t="s">
        <v>21</v>
      </c>
      <c r="N11" s="35"/>
      <c r="O11" s="25"/>
    </row>
    <row r="12" spans="1:15" ht="15" x14ac:dyDescent="0.2">
      <c r="A12" s="36"/>
      <c r="B12" s="8">
        <v>-1</v>
      </c>
      <c r="C12" s="9">
        <v>1</v>
      </c>
      <c r="D12" s="11">
        <v>1</v>
      </c>
      <c r="E12" s="9">
        <v>-1</v>
      </c>
      <c r="F12" s="11">
        <v>0</v>
      </c>
      <c r="G12" s="9">
        <v>0</v>
      </c>
      <c r="H12" s="11">
        <v>0</v>
      </c>
      <c r="I12" s="9">
        <v>0</v>
      </c>
      <c r="J12" s="11">
        <v>0</v>
      </c>
      <c r="K12" s="12">
        <v>0</v>
      </c>
      <c r="L12" s="33"/>
      <c r="M12" s="38" t="s">
        <v>37</v>
      </c>
      <c r="N12" s="35"/>
      <c r="O12" s="25"/>
    </row>
    <row r="13" spans="1:15" ht="15" x14ac:dyDescent="0.2">
      <c r="A13" s="36"/>
      <c r="B13" s="8">
        <v>0</v>
      </c>
      <c r="C13" s="9">
        <v>0</v>
      </c>
      <c r="D13" s="11">
        <v>0</v>
      </c>
      <c r="E13" s="9">
        <v>0</v>
      </c>
      <c r="F13" s="11">
        <v>0</v>
      </c>
      <c r="G13" s="9">
        <v>0</v>
      </c>
      <c r="H13" s="11">
        <v>0</v>
      </c>
      <c r="I13" s="9">
        <v>0</v>
      </c>
      <c r="J13" s="11">
        <v>0</v>
      </c>
      <c r="K13" s="12">
        <v>0</v>
      </c>
      <c r="L13" s="33"/>
      <c r="M13" s="38"/>
      <c r="N13" s="35"/>
      <c r="O13" s="25"/>
    </row>
    <row r="14" spans="1:15" ht="15" x14ac:dyDescent="0.2">
      <c r="A14" s="36"/>
      <c r="B14" s="8">
        <v>0</v>
      </c>
      <c r="C14" s="9">
        <v>0</v>
      </c>
      <c r="D14" s="11">
        <v>0</v>
      </c>
      <c r="E14" s="9">
        <v>0</v>
      </c>
      <c r="F14" s="11">
        <v>0</v>
      </c>
      <c r="G14" s="9">
        <v>0</v>
      </c>
      <c r="H14" s="11">
        <v>0</v>
      </c>
      <c r="I14" s="9">
        <v>0</v>
      </c>
      <c r="J14" s="11">
        <v>0</v>
      </c>
      <c r="K14" s="12">
        <v>0</v>
      </c>
      <c r="L14" s="33"/>
      <c r="M14" s="38"/>
      <c r="N14" s="35"/>
      <c r="O14" s="25"/>
    </row>
    <row r="15" spans="1:15" ht="15.75" thickBot="1" x14ac:dyDescent="0.25">
      <c r="A15" s="36"/>
      <c r="B15" s="18">
        <v>0</v>
      </c>
      <c r="C15" s="19">
        <v>0</v>
      </c>
      <c r="D15" s="20">
        <v>0</v>
      </c>
      <c r="E15" s="19">
        <v>0</v>
      </c>
      <c r="F15" s="20">
        <v>0</v>
      </c>
      <c r="G15" s="19">
        <v>0</v>
      </c>
      <c r="H15" s="20">
        <v>0</v>
      </c>
      <c r="I15" s="19">
        <v>0</v>
      </c>
      <c r="J15" s="20">
        <v>0</v>
      </c>
      <c r="K15" s="21">
        <v>0</v>
      </c>
      <c r="L15" s="33"/>
      <c r="M15" s="39"/>
      <c r="N15" s="35"/>
      <c r="O15" s="25"/>
    </row>
    <row r="16" spans="1:15" ht="15" x14ac:dyDescent="0.2">
      <c r="A16" s="31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40"/>
      <c r="N16" s="35"/>
      <c r="O16" s="25"/>
    </row>
    <row r="17" spans="1:15" ht="16.5" thickBot="1" x14ac:dyDescent="0.3">
      <c r="A17" s="31"/>
      <c r="B17" s="97" t="s">
        <v>3</v>
      </c>
      <c r="C17" s="97"/>
      <c r="D17" s="33"/>
      <c r="E17" s="33"/>
      <c r="F17" s="33"/>
      <c r="G17" s="33"/>
      <c r="H17" s="33"/>
      <c r="I17" s="33"/>
      <c r="J17" s="33"/>
      <c r="K17" s="33"/>
      <c r="L17" s="33"/>
      <c r="M17" s="40"/>
      <c r="N17" s="35"/>
      <c r="O17" s="25"/>
    </row>
    <row r="18" spans="1:15" ht="15" x14ac:dyDescent="0.2">
      <c r="A18" s="36"/>
      <c r="B18" s="17">
        <f>(Matrix!F5-Matrix!G5)/2</f>
        <v>-0.5</v>
      </c>
      <c r="C18" s="4">
        <f>(Matrix!F5-Matrix!G5)/2</f>
        <v>-0.5</v>
      </c>
      <c r="D18" s="6">
        <f>Matrix!F5</f>
        <v>2</v>
      </c>
      <c r="E18" s="4">
        <v>0</v>
      </c>
      <c r="F18" s="6">
        <v>0</v>
      </c>
      <c r="G18" s="4">
        <v>0</v>
      </c>
      <c r="H18" s="6">
        <v>0</v>
      </c>
      <c r="I18" s="4">
        <v>0</v>
      </c>
      <c r="J18" s="6">
        <v>0</v>
      </c>
      <c r="K18" s="7">
        <v>0</v>
      </c>
      <c r="L18" s="33"/>
      <c r="M18" s="37" t="s">
        <v>32</v>
      </c>
      <c r="N18" s="35"/>
      <c r="O18" s="25"/>
    </row>
    <row r="19" spans="1:15" ht="15" x14ac:dyDescent="0.2">
      <c r="A19" s="36"/>
      <c r="B19" s="8">
        <v>0</v>
      </c>
      <c r="C19" s="9">
        <f>Matrix!F5</f>
        <v>2</v>
      </c>
      <c r="D19" s="11">
        <f>(Matrix!F5+Matrix!K5)/2</f>
        <v>1.5</v>
      </c>
      <c r="E19" s="9">
        <f>(Matrix!F5+Matrix!K5)/2</f>
        <v>1.5</v>
      </c>
      <c r="F19" s="11">
        <v>0</v>
      </c>
      <c r="G19" s="9">
        <v>0</v>
      </c>
      <c r="H19" s="11">
        <v>0</v>
      </c>
      <c r="I19" s="9">
        <v>0</v>
      </c>
      <c r="J19" s="11">
        <v>0</v>
      </c>
      <c r="K19" s="12">
        <v>0</v>
      </c>
      <c r="L19" s="33"/>
      <c r="M19" s="38" t="s">
        <v>33</v>
      </c>
      <c r="N19" s="35"/>
      <c r="O19" s="25"/>
    </row>
    <row r="20" spans="1:15" ht="15" x14ac:dyDescent="0.2">
      <c r="A20" s="36"/>
      <c r="B20" s="8">
        <v>0</v>
      </c>
      <c r="C20" s="9">
        <v>0</v>
      </c>
      <c r="D20" s="11">
        <v>0</v>
      </c>
      <c r="E20" s="9">
        <v>0</v>
      </c>
      <c r="F20" s="11">
        <v>0</v>
      </c>
      <c r="G20" s="9">
        <v>0</v>
      </c>
      <c r="H20" s="11">
        <v>0</v>
      </c>
      <c r="I20" s="9">
        <v>0</v>
      </c>
      <c r="J20" s="11">
        <v>0</v>
      </c>
      <c r="K20" s="12">
        <v>0</v>
      </c>
      <c r="L20" s="33"/>
      <c r="M20" s="38" t="s">
        <v>34</v>
      </c>
      <c r="N20" s="35"/>
      <c r="O20" s="25"/>
    </row>
    <row r="21" spans="1:15" ht="15" x14ac:dyDescent="0.2">
      <c r="A21" s="36"/>
      <c r="B21" s="8">
        <v>0</v>
      </c>
      <c r="C21" s="9">
        <v>0</v>
      </c>
      <c r="D21" s="11">
        <v>0</v>
      </c>
      <c r="E21" s="9">
        <v>0</v>
      </c>
      <c r="F21" s="11">
        <v>0</v>
      </c>
      <c r="G21" s="9">
        <v>0</v>
      </c>
      <c r="H21" s="11">
        <v>0</v>
      </c>
      <c r="I21" s="9">
        <v>0</v>
      </c>
      <c r="J21" s="11">
        <v>0</v>
      </c>
      <c r="K21" s="12">
        <v>0</v>
      </c>
      <c r="L21" s="33"/>
      <c r="M21" s="38" t="s">
        <v>35</v>
      </c>
      <c r="N21" s="35"/>
      <c r="O21" s="25"/>
    </row>
    <row r="22" spans="1:15" ht="15.75" thickBot="1" x14ac:dyDescent="0.25">
      <c r="A22" s="36"/>
      <c r="B22" s="18">
        <v>0</v>
      </c>
      <c r="C22" s="19">
        <v>0</v>
      </c>
      <c r="D22" s="20">
        <v>0</v>
      </c>
      <c r="E22" s="19">
        <v>0</v>
      </c>
      <c r="F22" s="20">
        <v>0</v>
      </c>
      <c r="G22" s="19">
        <v>0</v>
      </c>
      <c r="H22" s="20">
        <v>0</v>
      </c>
      <c r="I22" s="19">
        <v>0</v>
      </c>
      <c r="J22" s="20">
        <v>0</v>
      </c>
      <c r="K22" s="21">
        <v>0</v>
      </c>
      <c r="L22" s="33"/>
      <c r="M22" s="39"/>
      <c r="N22" s="35"/>
      <c r="O22" s="25"/>
    </row>
    <row r="23" spans="1:15" ht="15" x14ac:dyDescent="0.2">
      <c r="A23" s="31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40"/>
      <c r="N23" s="35"/>
      <c r="O23" s="25"/>
    </row>
    <row r="24" spans="1:15" ht="16.5" thickBot="1" x14ac:dyDescent="0.3">
      <c r="A24" s="31"/>
      <c r="B24" s="97" t="s">
        <v>6</v>
      </c>
      <c r="C24" s="97"/>
      <c r="D24" s="33"/>
      <c r="E24" s="33"/>
      <c r="F24" s="33"/>
      <c r="G24" s="33"/>
      <c r="H24" s="33"/>
      <c r="I24" s="33"/>
      <c r="J24" s="33"/>
      <c r="K24" s="33"/>
      <c r="L24" s="33"/>
      <c r="M24" s="40"/>
      <c r="N24" s="35"/>
      <c r="O24" s="25"/>
    </row>
    <row r="25" spans="1:15" ht="15" x14ac:dyDescent="0.2">
      <c r="A25" s="36"/>
      <c r="B25" s="17">
        <v>2</v>
      </c>
      <c r="C25" s="4">
        <v>1</v>
      </c>
      <c r="D25" s="5">
        <v>0</v>
      </c>
      <c r="E25" s="4">
        <v>0</v>
      </c>
      <c r="F25" s="6">
        <v>0</v>
      </c>
      <c r="G25" s="4">
        <v>0</v>
      </c>
      <c r="H25" s="6">
        <v>0</v>
      </c>
      <c r="I25" s="4">
        <v>0</v>
      </c>
      <c r="J25" s="6">
        <v>0</v>
      </c>
      <c r="K25" s="7">
        <v>0</v>
      </c>
      <c r="L25" s="33"/>
      <c r="M25" s="37" t="s">
        <v>22</v>
      </c>
      <c r="N25" s="35"/>
      <c r="O25" s="25"/>
    </row>
    <row r="26" spans="1:15" ht="15" x14ac:dyDescent="0.2">
      <c r="A26" s="36"/>
      <c r="B26" s="22">
        <v>0</v>
      </c>
      <c r="C26" s="9">
        <v>0</v>
      </c>
      <c r="D26" s="11">
        <v>1</v>
      </c>
      <c r="E26" s="9">
        <v>2</v>
      </c>
      <c r="F26" s="11">
        <v>0</v>
      </c>
      <c r="G26" s="9">
        <v>0</v>
      </c>
      <c r="H26" s="11">
        <v>0</v>
      </c>
      <c r="I26" s="9">
        <v>0</v>
      </c>
      <c r="J26" s="11">
        <v>0</v>
      </c>
      <c r="K26" s="12">
        <v>0</v>
      </c>
      <c r="L26" s="33"/>
      <c r="M26" s="38"/>
      <c r="N26" s="35"/>
      <c r="O26" s="25"/>
    </row>
    <row r="27" spans="1:15" ht="15" x14ac:dyDescent="0.2">
      <c r="A27" s="36"/>
      <c r="B27" s="8">
        <v>0</v>
      </c>
      <c r="C27" s="9">
        <v>0</v>
      </c>
      <c r="D27" s="11">
        <v>0</v>
      </c>
      <c r="E27" s="9">
        <v>0</v>
      </c>
      <c r="F27" s="11">
        <v>0</v>
      </c>
      <c r="G27" s="9">
        <v>0</v>
      </c>
      <c r="H27" s="11">
        <v>0</v>
      </c>
      <c r="I27" s="9">
        <v>0</v>
      </c>
      <c r="J27" s="11">
        <v>0</v>
      </c>
      <c r="K27" s="12">
        <v>0</v>
      </c>
      <c r="L27" s="33"/>
      <c r="M27" s="38"/>
      <c r="N27" s="35"/>
      <c r="O27" s="25"/>
    </row>
    <row r="28" spans="1:15" ht="15" x14ac:dyDescent="0.2">
      <c r="A28" s="36"/>
      <c r="B28" s="8">
        <v>0</v>
      </c>
      <c r="C28" s="9">
        <v>0</v>
      </c>
      <c r="D28" s="11">
        <v>0</v>
      </c>
      <c r="E28" s="9">
        <v>0</v>
      </c>
      <c r="F28" s="11">
        <v>0</v>
      </c>
      <c r="G28" s="9">
        <v>0</v>
      </c>
      <c r="H28" s="11">
        <v>0</v>
      </c>
      <c r="I28" s="9">
        <v>0</v>
      </c>
      <c r="J28" s="11">
        <v>0</v>
      </c>
      <c r="K28" s="12">
        <v>0</v>
      </c>
      <c r="L28" s="33"/>
      <c r="M28" s="38"/>
      <c r="N28" s="35"/>
      <c r="O28" s="25"/>
    </row>
    <row r="29" spans="1:15" ht="15.75" thickBot="1" x14ac:dyDescent="0.25">
      <c r="A29" s="36"/>
      <c r="B29" s="18">
        <v>0</v>
      </c>
      <c r="C29" s="19">
        <v>0</v>
      </c>
      <c r="D29" s="20">
        <v>0</v>
      </c>
      <c r="E29" s="19">
        <v>0</v>
      </c>
      <c r="F29" s="20">
        <v>0</v>
      </c>
      <c r="G29" s="19">
        <v>0</v>
      </c>
      <c r="H29" s="20">
        <v>0</v>
      </c>
      <c r="I29" s="19">
        <v>0</v>
      </c>
      <c r="J29" s="20">
        <v>0</v>
      </c>
      <c r="K29" s="21">
        <v>0</v>
      </c>
      <c r="L29" s="33"/>
      <c r="M29" s="39"/>
      <c r="N29" s="35"/>
      <c r="O29" s="25"/>
    </row>
    <row r="30" spans="1:15" ht="15" x14ac:dyDescent="0.2">
      <c r="A30" s="31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40"/>
      <c r="N30" s="35"/>
      <c r="O30" s="25"/>
    </row>
    <row r="31" spans="1:15" ht="16.5" thickBot="1" x14ac:dyDescent="0.3">
      <c r="A31" s="31"/>
      <c r="B31" s="97" t="s">
        <v>38</v>
      </c>
      <c r="C31" s="97"/>
      <c r="D31" s="97"/>
      <c r="E31" s="33"/>
      <c r="F31" s="33"/>
      <c r="G31" s="33"/>
      <c r="H31" s="33"/>
      <c r="I31" s="33"/>
      <c r="J31" s="33"/>
      <c r="K31" s="33"/>
      <c r="L31" s="33"/>
      <c r="M31" s="40"/>
      <c r="N31" s="35"/>
      <c r="O31" s="25"/>
    </row>
    <row r="32" spans="1:15" ht="15" x14ac:dyDescent="0.2">
      <c r="A32" s="36"/>
      <c r="B32" s="23">
        <v>0</v>
      </c>
      <c r="C32" s="4">
        <v>2</v>
      </c>
      <c r="D32" s="6">
        <v>3</v>
      </c>
      <c r="E32" s="4">
        <v>0</v>
      </c>
      <c r="F32" s="6">
        <v>0</v>
      </c>
      <c r="G32" s="4">
        <v>0</v>
      </c>
      <c r="H32" s="6">
        <v>0</v>
      </c>
      <c r="I32" s="4">
        <v>0</v>
      </c>
      <c r="J32" s="6">
        <v>0</v>
      </c>
      <c r="K32" s="7">
        <v>0</v>
      </c>
      <c r="L32" s="33"/>
      <c r="M32" s="37" t="s">
        <v>26</v>
      </c>
      <c r="N32" s="35"/>
      <c r="O32" s="25"/>
    </row>
    <row r="33" spans="1:15" ht="15" x14ac:dyDescent="0.2">
      <c r="A33" s="36"/>
      <c r="B33" s="8">
        <v>2</v>
      </c>
      <c r="C33" s="9">
        <v>1</v>
      </c>
      <c r="D33" s="11">
        <v>1</v>
      </c>
      <c r="E33" s="9">
        <v>3</v>
      </c>
      <c r="F33" s="11">
        <v>0</v>
      </c>
      <c r="G33" s="9">
        <v>0</v>
      </c>
      <c r="H33" s="11">
        <v>0</v>
      </c>
      <c r="I33" s="9">
        <v>0</v>
      </c>
      <c r="J33" s="11">
        <v>0</v>
      </c>
      <c r="K33" s="12">
        <v>0</v>
      </c>
      <c r="L33" s="33"/>
      <c r="M33" s="38" t="s">
        <v>24</v>
      </c>
      <c r="N33" s="35"/>
      <c r="O33" s="25"/>
    </row>
    <row r="34" spans="1:15" ht="15" x14ac:dyDescent="0.2">
      <c r="A34" s="36"/>
      <c r="B34" s="8">
        <v>0</v>
      </c>
      <c r="C34" s="9">
        <v>0</v>
      </c>
      <c r="D34" s="11">
        <v>0</v>
      </c>
      <c r="E34" s="9">
        <v>0</v>
      </c>
      <c r="F34" s="11">
        <v>0</v>
      </c>
      <c r="G34" s="9">
        <v>0</v>
      </c>
      <c r="H34" s="11">
        <v>0</v>
      </c>
      <c r="I34" s="9">
        <v>0</v>
      </c>
      <c r="J34" s="11">
        <v>0</v>
      </c>
      <c r="K34" s="12">
        <v>0</v>
      </c>
      <c r="L34" s="33"/>
      <c r="M34" s="38" t="s">
        <v>23</v>
      </c>
      <c r="N34" s="35"/>
      <c r="O34" s="25"/>
    </row>
    <row r="35" spans="1:15" ht="15" x14ac:dyDescent="0.2">
      <c r="A35" s="36"/>
      <c r="B35" s="8">
        <v>0</v>
      </c>
      <c r="C35" s="9">
        <v>0</v>
      </c>
      <c r="D35" s="11">
        <v>0</v>
      </c>
      <c r="E35" s="9">
        <v>0</v>
      </c>
      <c r="F35" s="11">
        <v>0</v>
      </c>
      <c r="G35" s="9">
        <v>0</v>
      </c>
      <c r="H35" s="11">
        <v>0</v>
      </c>
      <c r="I35" s="9">
        <v>0</v>
      </c>
      <c r="J35" s="11">
        <v>0</v>
      </c>
      <c r="K35" s="12">
        <v>0</v>
      </c>
      <c r="L35" s="33"/>
      <c r="M35" s="38" t="s">
        <v>25</v>
      </c>
      <c r="N35" s="35"/>
      <c r="O35" s="25"/>
    </row>
    <row r="36" spans="1:15" ht="15.75" thickBot="1" x14ac:dyDescent="0.25">
      <c r="A36" s="36"/>
      <c r="B36" s="18">
        <v>0</v>
      </c>
      <c r="C36" s="19">
        <v>0</v>
      </c>
      <c r="D36" s="20">
        <v>0</v>
      </c>
      <c r="E36" s="19">
        <v>0</v>
      </c>
      <c r="F36" s="20">
        <v>0</v>
      </c>
      <c r="G36" s="19">
        <v>0</v>
      </c>
      <c r="H36" s="20">
        <v>0</v>
      </c>
      <c r="I36" s="19">
        <v>0</v>
      </c>
      <c r="J36" s="20">
        <v>0</v>
      </c>
      <c r="K36" s="21">
        <v>0</v>
      </c>
      <c r="L36" s="33"/>
      <c r="M36" s="39" t="s">
        <v>27</v>
      </c>
      <c r="N36" s="35"/>
      <c r="O36" s="25"/>
    </row>
    <row r="37" spans="1:15" ht="15" x14ac:dyDescent="0.2">
      <c r="A37" s="31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5"/>
      <c r="O37" s="25"/>
    </row>
    <row r="38" spans="1:15" ht="16.5" thickBot="1" x14ac:dyDescent="0.3">
      <c r="A38" s="31"/>
      <c r="B38" s="97" t="s">
        <v>39</v>
      </c>
      <c r="C38" s="97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5"/>
      <c r="O38" s="25"/>
    </row>
    <row r="39" spans="1:15" ht="15" x14ac:dyDescent="0.2">
      <c r="A39" s="36"/>
      <c r="B39" s="17">
        <f>Matrix!I5</f>
        <v>0</v>
      </c>
      <c r="C39" s="4">
        <f>Matrix!I5</f>
        <v>0</v>
      </c>
      <c r="D39" s="6">
        <f>Matrix!J5</f>
        <v>0</v>
      </c>
      <c r="E39" s="4">
        <f>Matrix!K5</f>
        <v>1</v>
      </c>
      <c r="F39" s="6">
        <v>1</v>
      </c>
      <c r="G39" s="4">
        <v>1</v>
      </c>
      <c r="H39" s="6">
        <v>1</v>
      </c>
      <c r="I39" s="4">
        <v>1</v>
      </c>
      <c r="J39" s="6">
        <v>1</v>
      </c>
      <c r="K39" s="7">
        <v>1</v>
      </c>
      <c r="L39" s="33"/>
      <c r="M39" s="37" t="s">
        <v>28</v>
      </c>
      <c r="N39" s="35"/>
      <c r="O39" s="25"/>
    </row>
    <row r="40" spans="1:15" ht="15" x14ac:dyDescent="0.2">
      <c r="A40" s="36"/>
      <c r="B40" s="8">
        <f>Matrix!K5</f>
        <v>1</v>
      </c>
      <c r="C40" s="9">
        <f>Matrix!J5</f>
        <v>0</v>
      </c>
      <c r="D40" s="11">
        <f>Matrix!H5</f>
        <v>0</v>
      </c>
      <c r="E40" s="9">
        <f>Matrix!H5</f>
        <v>0</v>
      </c>
      <c r="F40" s="11">
        <v>1</v>
      </c>
      <c r="G40" s="9">
        <v>1</v>
      </c>
      <c r="H40" s="11">
        <v>1</v>
      </c>
      <c r="I40" s="9">
        <v>1</v>
      </c>
      <c r="J40" s="11">
        <v>1</v>
      </c>
      <c r="K40" s="12">
        <v>1</v>
      </c>
      <c r="L40" s="33"/>
      <c r="M40" s="38" t="s">
        <v>36</v>
      </c>
      <c r="N40" s="35"/>
      <c r="O40" s="25"/>
    </row>
    <row r="41" spans="1:15" ht="15" x14ac:dyDescent="0.2">
      <c r="A41" s="36"/>
      <c r="B41" s="8">
        <v>1</v>
      </c>
      <c r="C41" s="9">
        <v>1</v>
      </c>
      <c r="D41" s="11">
        <v>1</v>
      </c>
      <c r="E41" s="9">
        <v>1</v>
      </c>
      <c r="F41" s="11">
        <v>3</v>
      </c>
      <c r="G41" s="9">
        <v>3</v>
      </c>
      <c r="H41" s="11">
        <v>1</v>
      </c>
      <c r="I41" s="9">
        <v>1</v>
      </c>
      <c r="J41" s="11">
        <v>1</v>
      </c>
      <c r="K41" s="12">
        <v>1</v>
      </c>
      <c r="L41" s="33"/>
      <c r="M41" s="38"/>
      <c r="N41" s="35"/>
      <c r="O41" s="25"/>
    </row>
    <row r="42" spans="1:15" ht="15" x14ac:dyDescent="0.2">
      <c r="A42" s="36"/>
      <c r="B42" s="8">
        <v>1</v>
      </c>
      <c r="C42" s="9">
        <v>1</v>
      </c>
      <c r="D42" s="11">
        <v>1</v>
      </c>
      <c r="E42" s="9">
        <v>1</v>
      </c>
      <c r="F42" s="11">
        <v>1</v>
      </c>
      <c r="G42" s="9">
        <v>1</v>
      </c>
      <c r="H42" s="11">
        <v>5</v>
      </c>
      <c r="I42" s="9">
        <v>1.5</v>
      </c>
      <c r="J42" s="11">
        <v>1</v>
      </c>
      <c r="K42" s="12">
        <v>1</v>
      </c>
      <c r="L42" s="33"/>
      <c r="M42" s="38"/>
      <c r="N42" s="35"/>
      <c r="O42" s="25"/>
    </row>
    <row r="43" spans="1:15" ht="15.75" thickBot="1" x14ac:dyDescent="0.25">
      <c r="A43" s="36"/>
      <c r="B43" s="18">
        <v>1</v>
      </c>
      <c r="C43" s="19">
        <v>1</v>
      </c>
      <c r="D43" s="20">
        <v>1</v>
      </c>
      <c r="E43" s="19">
        <v>1</v>
      </c>
      <c r="F43" s="20">
        <v>1</v>
      </c>
      <c r="G43" s="19">
        <v>1</v>
      </c>
      <c r="H43" s="20">
        <v>1</v>
      </c>
      <c r="I43" s="19">
        <v>1</v>
      </c>
      <c r="J43" s="20">
        <v>1.5</v>
      </c>
      <c r="K43" s="21">
        <v>5</v>
      </c>
      <c r="L43" s="33"/>
      <c r="M43" s="39"/>
      <c r="N43" s="35"/>
      <c r="O43" s="25"/>
    </row>
    <row r="44" spans="1:15" ht="15.75" thickBot="1" x14ac:dyDescent="0.25">
      <c r="A44" s="41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3"/>
      <c r="O44" s="25"/>
    </row>
    <row r="45" spans="1:15" x14ac:dyDescent="0.2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</row>
    <row r="46" spans="1:15" x14ac:dyDescent="0.2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6"/>
    </row>
  </sheetData>
  <sheetProtection selectLockedCells="1"/>
  <mergeCells count="5">
    <mergeCell ref="B10:C10"/>
    <mergeCell ref="B17:C17"/>
    <mergeCell ref="B38:C38"/>
    <mergeCell ref="B31:D31"/>
    <mergeCell ref="B24:C24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S33"/>
  <sheetViews>
    <sheetView workbookViewId="0">
      <selection activeCell="L7" sqref="L7"/>
    </sheetView>
  </sheetViews>
  <sheetFormatPr baseColWidth="10" defaultRowHeight="12.75" x14ac:dyDescent="0.2"/>
  <cols>
    <col min="1" max="1" width="11.42578125" customWidth="1"/>
    <col min="2" max="2" width="7.7109375" bestFit="1" customWidth="1"/>
    <col min="3" max="3" width="8.85546875" bestFit="1" customWidth="1"/>
    <col min="4" max="4" width="6.7109375" bestFit="1" customWidth="1"/>
    <col min="5" max="5" width="8.85546875" bestFit="1" customWidth="1"/>
    <col min="6" max="6" width="3.42578125" customWidth="1"/>
    <col min="7" max="10" width="2.28515625" bestFit="1" customWidth="1"/>
    <col min="11" max="11" width="2.85546875" bestFit="1" customWidth="1"/>
    <col min="12" max="12" width="7.28515625" bestFit="1" customWidth="1"/>
    <col min="13" max="13" width="10.42578125" customWidth="1"/>
    <col min="14" max="14" width="12.5703125" bestFit="1" customWidth="1"/>
  </cols>
  <sheetData>
    <row r="1" spans="1:19" x14ac:dyDescent="0.2">
      <c r="A1" s="82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4"/>
      <c r="R1" s="44"/>
      <c r="S1" s="44"/>
    </row>
    <row r="2" spans="1:19" ht="16.5" thickBot="1" x14ac:dyDescent="0.3">
      <c r="A2" s="85"/>
      <c r="B2" s="98" t="s">
        <v>62</v>
      </c>
      <c r="C2" s="98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7" t="s">
        <v>61</v>
      </c>
      <c r="P2" s="86"/>
      <c r="Q2" s="88"/>
      <c r="R2" s="44"/>
      <c r="S2" s="44"/>
    </row>
    <row r="3" spans="1:19" ht="15" x14ac:dyDescent="0.2">
      <c r="A3" s="31"/>
      <c r="B3" s="100" t="s">
        <v>0</v>
      </c>
      <c r="C3" s="49" t="s">
        <v>4</v>
      </c>
      <c r="D3" s="50" t="s">
        <v>5</v>
      </c>
      <c r="E3" s="49" t="s">
        <v>13</v>
      </c>
      <c r="F3" s="50" t="s">
        <v>12</v>
      </c>
      <c r="G3" s="50"/>
      <c r="H3" s="50"/>
      <c r="I3" s="50"/>
      <c r="J3" s="50"/>
      <c r="K3" s="50"/>
      <c r="L3" s="49" t="s">
        <v>19</v>
      </c>
      <c r="M3" s="50" t="s">
        <v>15</v>
      </c>
      <c r="N3" s="75" t="s">
        <v>41</v>
      </c>
      <c r="O3" s="62" t="s">
        <v>59</v>
      </c>
      <c r="P3" s="86"/>
      <c r="Q3" s="88"/>
      <c r="R3" s="44"/>
      <c r="S3" s="44"/>
    </row>
    <row r="4" spans="1:19" ht="15" x14ac:dyDescent="0.2">
      <c r="A4" s="31"/>
      <c r="B4" s="101"/>
      <c r="C4" s="47"/>
      <c r="D4" s="46"/>
      <c r="E4" s="47" t="s">
        <v>14</v>
      </c>
      <c r="F4" s="63" t="s">
        <v>29</v>
      </c>
      <c r="G4" s="63" t="s">
        <v>30</v>
      </c>
      <c r="H4" s="63" t="s">
        <v>11</v>
      </c>
      <c r="I4" s="63" t="s">
        <v>9</v>
      </c>
      <c r="J4" s="63" t="s">
        <v>10</v>
      </c>
      <c r="K4" s="63" t="s">
        <v>31</v>
      </c>
      <c r="L4" s="47" t="s">
        <v>20</v>
      </c>
      <c r="M4" s="63" t="s">
        <v>16</v>
      </c>
      <c r="N4" s="76" t="s">
        <v>40</v>
      </c>
      <c r="O4" s="64" t="s">
        <v>60</v>
      </c>
      <c r="P4" s="86"/>
      <c r="Q4" s="88"/>
      <c r="R4" s="44"/>
      <c r="S4" s="44"/>
    </row>
    <row r="5" spans="1:19" ht="15.75" thickBot="1" x14ac:dyDescent="0.25">
      <c r="A5" s="31"/>
      <c r="B5" s="54" t="s">
        <v>2</v>
      </c>
      <c r="C5" s="55">
        <v>2</v>
      </c>
      <c r="D5" s="56">
        <v>2</v>
      </c>
      <c r="E5" s="74">
        <v>60</v>
      </c>
      <c r="F5" s="56">
        <v>2</v>
      </c>
      <c r="G5" s="56">
        <v>3</v>
      </c>
      <c r="H5" s="56"/>
      <c r="I5" s="56"/>
      <c r="J5" s="56"/>
      <c r="K5" s="56">
        <v>1</v>
      </c>
      <c r="L5" s="55">
        <v>5</v>
      </c>
      <c r="M5" s="73" t="s">
        <v>17</v>
      </c>
      <c r="N5" s="77" t="s">
        <v>17</v>
      </c>
      <c r="O5" s="65">
        <v>4</v>
      </c>
      <c r="P5" s="86"/>
      <c r="Q5" s="88"/>
      <c r="R5" s="44"/>
      <c r="S5" s="44"/>
    </row>
    <row r="6" spans="1:19" ht="15.75" thickBot="1" x14ac:dyDescent="0.25">
      <c r="A6" s="31"/>
      <c r="B6" s="86"/>
      <c r="C6" s="89"/>
      <c r="D6" s="89"/>
      <c r="E6" s="89"/>
      <c r="F6" s="89"/>
      <c r="G6" s="89"/>
      <c r="H6" s="89"/>
      <c r="I6" s="89"/>
      <c r="J6" s="89"/>
      <c r="K6" s="89"/>
      <c r="L6" s="86"/>
      <c r="M6" s="86"/>
      <c r="N6" s="86"/>
      <c r="O6" s="86"/>
      <c r="P6" s="86"/>
      <c r="Q6" s="88"/>
      <c r="R6" s="44"/>
      <c r="S6" s="44"/>
    </row>
    <row r="7" spans="1:19" ht="15" x14ac:dyDescent="0.2">
      <c r="A7" s="31"/>
      <c r="B7" s="48">
        <v>35</v>
      </c>
      <c r="C7" s="49">
        <v>-35</v>
      </c>
      <c r="D7" s="50">
        <v>-35</v>
      </c>
      <c r="E7" s="49">
        <v>35</v>
      </c>
      <c r="F7" s="50"/>
      <c r="G7" s="49"/>
      <c r="H7" s="50"/>
      <c r="I7" s="49"/>
      <c r="J7" s="50"/>
      <c r="K7" s="51"/>
      <c r="L7" s="86"/>
      <c r="M7" s="86"/>
      <c r="N7" s="86"/>
      <c r="O7" s="86"/>
      <c r="P7" s="86"/>
      <c r="Q7" s="88"/>
      <c r="R7" s="44"/>
      <c r="S7" s="44"/>
    </row>
    <row r="8" spans="1:19" ht="15" x14ac:dyDescent="0.2">
      <c r="A8" s="31"/>
      <c r="B8" s="52">
        <v>-35</v>
      </c>
      <c r="C8" s="47">
        <v>35</v>
      </c>
      <c r="D8" s="46">
        <v>35</v>
      </c>
      <c r="E8" s="47">
        <v>-35</v>
      </c>
      <c r="F8" s="46"/>
      <c r="G8" s="47"/>
      <c r="H8" s="46"/>
      <c r="I8" s="47"/>
      <c r="J8" s="46"/>
      <c r="K8" s="53"/>
      <c r="L8" s="86"/>
      <c r="M8" s="86"/>
      <c r="N8" s="86"/>
      <c r="O8" s="86"/>
      <c r="P8" s="86"/>
      <c r="Q8" s="88"/>
      <c r="R8" s="44"/>
      <c r="S8" s="44"/>
    </row>
    <row r="9" spans="1:19" ht="15" x14ac:dyDescent="0.2">
      <c r="A9" s="31"/>
      <c r="B9" s="52"/>
      <c r="C9" s="47"/>
      <c r="D9" s="46"/>
      <c r="E9" s="47"/>
      <c r="F9" s="46"/>
      <c r="G9" s="47"/>
      <c r="H9" s="46"/>
      <c r="I9" s="47"/>
      <c r="J9" s="46"/>
      <c r="K9" s="53"/>
      <c r="L9" s="86"/>
      <c r="M9" s="86"/>
      <c r="N9" s="86"/>
      <c r="O9" s="86"/>
      <c r="P9" s="86"/>
      <c r="Q9" s="88"/>
      <c r="R9" s="44"/>
      <c r="S9" s="44"/>
    </row>
    <row r="10" spans="1:19" ht="15" x14ac:dyDescent="0.2">
      <c r="A10" s="31"/>
      <c r="B10" s="52"/>
      <c r="C10" s="47"/>
      <c r="D10" s="46"/>
      <c r="E10" s="47"/>
      <c r="F10" s="46"/>
      <c r="G10" s="47"/>
      <c r="H10" s="46"/>
      <c r="I10" s="47"/>
      <c r="J10" s="46"/>
      <c r="K10" s="53"/>
      <c r="L10" s="86"/>
      <c r="M10" s="86"/>
      <c r="N10" s="86"/>
      <c r="O10" s="86"/>
      <c r="P10" s="86"/>
      <c r="Q10" s="88"/>
      <c r="R10" s="44"/>
      <c r="S10" s="44"/>
    </row>
    <row r="11" spans="1:19" ht="16.5" thickBot="1" x14ac:dyDescent="0.3">
      <c r="A11" s="31"/>
      <c r="B11" s="54"/>
      <c r="C11" s="55"/>
      <c r="D11" s="56"/>
      <c r="E11" s="55"/>
      <c r="F11" s="56"/>
      <c r="G11" s="55"/>
      <c r="H11" s="56"/>
      <c r="I11" s="55"/>
      <c r="J11" s="56"/>
      <c r="K11" s="57"/>
      <c r="L11" s="86"/>
      <c r="M11" s="86"/>
      <c r="N11" s="86"/>
      <c r="O11" s="99" t="s">
        <v>84</v>
      </c>
      <c r="P11" s="99"/>
      <c r="Q11" s="88"/>
      <c r="R11" s="44"/>
      <c r="S11" s="44"/>
    </row>
    <row r="12" spans="1:19" ht="15" x14ac:dyDescent="0.2">
      <c r="A12" s="31"/>
      <c r="B12" s="90"/>
      <c r="C12" s="90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58" t="s">
        <v>85</v>
      </c>
      <c r="P12" s="53">
        <v>57</v>
      </c>
      <c r="Q12" s="88"/>
      <c r="R12" s="44"/>
      <c r="S12" s="44"/>
    </row>
    <row r="13" spans="1:19" ht="15" x14ac:dyDescent="0.2">
      <c r="A13" s="31"/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58" t="s">
        <v>87</v>
      </c>
      <c r="P13" s="53">
        <v>86</v>
      </c>
      <c r="Q13" s="88"/>
      <c r="R13" s="44"/>
      <c r="S13" s="44"/>
    </row>
    <row r="14" spans="1:19" ht="15" x14ac:dyDescent="0.2">
      <c r="A14" s="31"/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58" t="s">
        <v>89</v>
      </c>
      <c r="P14" s="53">
        <v>36</v>
      </c>
      <c r="Q14" s="88"/>
      <c r="R14" s="44"/>
      <c r="S14" s="44"/>
    </row>
    <row r="15" spans="1:19" ht="15" x14ac:dyDescent="0.2">
      <c r="A15" s="31"/>
      <c r="B15" s="86"/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58" t="s">
        <v>91</v>
      </c>
      <c r="P15" s="53">
        <v>42</v>
      </c>
      <c r="Q15" s="88"/>
      <c r="R15" s="44"/>
      <c r="S15" s="44"/>
    </row>
    <row r="16" spans="1:19" x14ac:dyDescent="0.2">
      <c r="A16" s="85"/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58" t="s">
        <v>93</v>
      </c>
      <c r="P16" s="53">
        <v>35</v>
      </c>
      <c r="Q16" s="88"/>
      <c r="R16" s="44"/>
      <c r="S16" s="44"/>
    </row>
    <row r="17" spans="1:19" x14ac:dyDescent="0.2">
      <c r="A17" s="85"/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58"/>
      <c r="P17" s="53"/>
      <c r="Q17" s="88"/>
      <c r="R17" s="44"/>
      <c r="S17" s="44"/>
    </row>
    <row r="18" spans="1:19" x14ac:dyDescent="0.2">
      <c r="A18" s="85"/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58"/>
      <c r="P18" s="53"/>
      <c r="Q18" s="88"/>
      <c r="R18" s="44"/>
      <c r="S18" s="44"/>
    </row>
    <row r="19" spans="1:19" x14ac:dyDescent="0.2">
      <c r="A19" s="85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58"/>
      <c r="P19" s="53"/>
      <c r="Q19" s="88"/>
      <c r="R19" s="44"/>
      <c r="S19" s="44"/>
    </row>
    <row r="20" spans="1:19" hidden="1" x14ac:dyDescent="0.2">
      <c r="A20" s="85"/>
      <c r="B20" s="86" t="s">
        <v>1</v>
      </c>
      <c r="C20" s="86"/>
      <c r="D20" s="86">
        <v>2</v>
      </c>
      <c r="E20" s="86">
        <v>1</v>
      </c>
      <c r="F20" s="86" t="s">
        <v>17</v>
      </c>
      <c r="G20" s="86"/>
      <c r="H20" s="86"/>
      <c r="I20" s="86"/>
      <c r="J20" s="86"/>
      <c r="K20" s="86"/>
      <c r="L20" s="86"/>
      <c r="M20" s="86"/>
      <c r="N20" s="86"/>
      <c r="O20" s="58"/>
      <c r="P20" s="53"/>
      <c r="Q20" s="88"/>
      <c r="R20" s="44"/>
      <c r="S20" s="44"/>
    </row>
    <row r="21" spans="1:19" hidden="1" x14ac:dyDescent="0.2">
      <c r="A21" s="85"/>
      <c r="B21" s="86" t="s">
        <v>2</v>
      </c>
      <c r="C21" s="86"/>
      <c r="D21" s="86">
        <v>3</v>
      </c>
      <c r="E21" s="86">
        <v>2</v>
      </c>
      <c r="F21" s="86" t="s">
        <v>18</v>
      </c>
      <c r="G21" s="86"/>
      <c r="H21" s="86"/>
      <c r="I21" s="86"/>
      <c r="J21" s="86"/>
      <c r="K21" s="86"/>
      <c r="L21" s="86"/>
      <c r="M21" s="86"/>
      <c r="N21" s="86"/>
      <c r="O21" s="58"/>
      <c r="P21" s="53"/>
      <c r="Q21" s="88"/>
      <c r="R21" s="44"/>
      <c r="S21" s="44"/>
    </row>
    <row r="22" spans="1:19" hidden="1" x14ac:dyDescent="0.2">
      <c r="A22" s="85"/>
      <c r="B22" s="86" t="s">
        <v>3</v>
      </c>
      <c r="C22" s="86"/>
      <c r="D22" s="86">
        <v>4</v>
      </c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58"/>
      <c r="P22" s="53"/>
      <c r="Q22" s="88"/>
      <c r="R22" s="44"/>
      <c r="S22" s="44"/>
    </row>
    <row r="23" spans="1:19" hidden="1" x14ac:dyDescent="0.2">
      <c r="A23" s="85"/>
      <c r="B23" s="86" t="s">
        <v>6</v>
      </c>
      <c r="C23" s="86"/>
      <c r="D23" s="86">
        <v>5</v>
      </c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58"/>
      <c r="P23" s="53"/>
      <c r="Q23" s="88"/>
      <c r="R23" s="44"/>
      <c r="S23" s="44"/>
    </row>
    <row r="24" spans="1:19" hidden="1" x14ac:dyDescent="0.2">
      <c r="A24" s="85"/>
      <c r="B24" s="86" t="s">
        <v>7</v>
      </c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58"/>
      <c r="P24" s="53"/>
      <c r="Q24" s="88"/>
      <c r="R24" s="44"/>
      <c r="S24" s="44"/>
    </row>
    <row r="25" spans="1:19" hidden="1" x14ac:dyDescent="0.2">
      <c r="A25" s="85"/>
      <c r="B25" s="86" t="s">
        <v>8</v>
      </c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58"/>
      <c r="P25" s="53"/>
      <c r="Q25" s="88"/>
      <c r="R25" s="44"/>
      <c r="S25" s="44"/>
    </row>
    <row r="26" spans="1:19" x14ac:dyDescent="0.2">
      <c r="A26" s="85"/>
      <c r="B26" s="86"/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58"/>
      <c r="P26" s="53"/>
      <c r="Q26" s="88"/>
      <c r="R26" s="44"/>
      <c r="S26" s="44"/>
    </row>
    <row r="27" spans="1:19" ht="13.5" thickBot="1" x14ac:dyDescent="0.25">
      <c r="A27" s="85"/>
      <c r="B27" s="86"/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59"/>
      <c r="P27" s="57"/>
      <c r="Q27" s="88"/>
      <c r="R27" s="44"/>
      <c r="S27" s="44"/>
    </row>
    <row r="28" spans="1:19" x14ac:dyDescent="0.2">
      <c r="A28" s="85"/>
      <c r="B28" s="86"/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8"/>
      <c r="R28" s="44"/>
      <c r="S28" s="44"/>
    </row>
    <row r="29" spans="1:19" ht="13.5" thickBot="1" x14ac:dyDescent="0.25">
      <c r="A29" s="91"/>
      <c r="B29" s="92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3"/>
      <c r="R29" s="44"/>
      <c r="S29" s="44"/>
    </row>
    <row r="30" spans="1:19" x14ac:dyDescent="0.2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</row>
    <row r="31" spans="1:19" x14ac:dyDescent="0.2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</row>
    <row r="32" spans="1:19" x14ac:dyDescent="0.2">
      <c r="A32" s="4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</row>
    <row r="33" spans="1:19" x14ac:dyDescent="0.2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S33" s="44"/>
    </row>
  </sheetData>
  <mergeCells count="3">
    <mergeCell ref="B2:C2"/>
    <mergeCell ref="O11:P11"/>
    <mergeCell ref="B3:B4"/>
  </mergeCells>
  <dataValidations count="4">
    <dataValidation type="list" allowBlank="1" showInputMessage="1" showErrorMessage="1" promptTitle="Spiele" sqref="B5">
      <formula1>Liste</formula1>
    </dataValidation>
    <dataValidation type="list" allowBlank="1" showInputMessage="1" showErrorMessage="1" sqref="M5:N5">
      <formula1>Auswahl</formula1>
    </dataValidation>
    <dataValidation type="list" allowBlank="1" showInputMessage="1" showErrorMessage="1" sqref="C5">
      <formula1>$D$20:$D$23</formula1>
    </dataValidation>
    <dataValidation type="list" allowBlank="1" showInputMessage="1" showErrorMessage="1" sqref="D5">
      <formula1>$E$20:$E$21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DieseArbeitsmappe.Experiment_erstellen">
                <anchor moveWithCells="1" sizeWithCells="1">
                  <from>
                    <xdr:col>12</xdr:col>
                    <xdr:colOff>0</xdr:colOff>
                    <xdr:row>6</xdr:row>
                    <xdr:rowOff>19050</xdr:rowOff>
                  </from>
                  <to>
                    <xdr:col>13</xdr:col>
                    <xdr:colOff>76200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DieseArbeitsmappe.feedback">
                <anchor moveWithCells="1" sizeWithCells="1">
                  <from>
                    <xdr:col>12</xdr:col>
                    <xdr:colOff>0</xdr:colOff>
                    <xdr:row>10</xdr:row>
                    <xdr:rowOff>19050</xdr:rowOff>
                  </from>
                  <to>
                    <xdr:col>13</xdr:col>
                    <xdr:colOff>76200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DieseArbeitsmappe.reset">
                <anchor moveWithCells="1" sizeWithCells="1">
                  <from>
                    <xdr:col>12</xdr:col>
                    <xdr:colOff>9525</xdr:colOff>
                    <xdr:row>14</xdr:row>
                    <xdr:rowOff>9525</xdr:rowOff>
                  </from>
                  <to>
                    <xdr:col>13</xdr:col>
                    <xdr:colOff>76200</xdr:colOff>
                    <xdr:row>16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L264"/>
  <sheetViews>
    <sheetView tabSelected="1" workbookViewId="0">
      <selection sqref="A1:H1"/>
    </sheetView>
  </sheetViews>
  <sheetFormatPr baseColWidth="10" defaultRowHeight="12.75" x14ac:dyDescent="0.2"/>
  <cols>
    <col min="1" max="1" width="12.42578125" bestFit="1" customWidth="1"/>
    <col min="3" max="3" width="17" bestFit="1" customWidth="1"/>
    <col min="9" max="12" width="11.42578125" style="44"/>
  </cols>
  <sheetData>
    <row r="1" spans="1:9" ht="15.75" x14ac:dyDescent="0.25">
      <c r="A1" s="102" t="s">
        <v>65</v>
      </c>
      <c r="B1" s="103"/>
      <c r="C1" s="103"/>
      <c r="D1" s="103"/>
      <c r="E1" s="103"/>
      <c r="F1" s="103"/>
      <c r="G1" s="103"/>
      <c r="H1" s="103"/>
      <c r="I1" s="84"/>
    </row>
    <row r="2" spans="1:9" ht="13.5" thickBot="1" x14ac:dyDescent="0.25">
      <c r="A2" s="85"/>
      <c r="B2" s="86"/>
      <c r="C2" s="86"/>
      <c r="D2" s="86"/>
      <c r="E2" s="86"/>
      <c r="F2" s="86"/>
      <c r="G2" s="86"/>
      <c r="H2" s="86"/>
      <c r="I2" s="88"/>
    </row>
    <row r="3" spans="1:9" ht="13.5" thickBot="1" x14ac:dyDescent="0.25">
      <c r="A3" s="71" t="s">
        <v>66</v>
      </c>
      <c r="B3" s="80" t="s">
        <v>67</v>
      </c>
      <c r="C3" s="72" t="s">
        <v>68</v>
      </c>
      <c r="D3" s="80" t="s">
        <v>69</v>
      </c>
      <c r="E3" s="72" t="s">
        <v>70</v>
      </c>
      <c r="F3" s="80" t="s">
        <v>72</v>
      </c>
      <c r="G3" s="72" t="s">
        <v>71</v>
      </c>
      <c r="H3" s="81" t="s">
        <v>64</v>
      </c>
      <c r="I3" s="88"/>
    </row>
    <row r="4" spans="1:9" x14ac:dyDescent="0.2">
      <c r="A4" s="78" t="s">
        <v>86</v>
      </c>
      <c r="B4" s="49">
        <v>1</v>
      </c>
      <c r="C4" s="79" t="s">
        <v>2</v>
      </c>
      <c r="D4" s="49">
        <v>57</v>
      </c>
      <c r="E4" s="79">
        <v>2</v>
      </c>
      <c r="F4" s="49">
        <v>2</v>
      </c>
      <c r="G4" s="79">
        <v>2</v>
      </c>
      <c r="H4" s="51">
        <v>60</v>
      </c>
      <c r="I4" s="88"/>
    </row>
    <row r="5" spans="1:9" x14ac:dyDescent="0.2">
      <c r="A5" s="58" t="s">
        <v>88</v>
      </c>
      <c r="B5" s="47">
        <v>2</v>
      </c>
      <c r="C5" s="70" t="s">
        <v>1</v>
      </c>
      <c r="D5" s="47">
        <v>86</v>
      </c>
      <c r="E5" s="70">
        <v>2</v>
      </c>
      <c r="F5" s="47">
        <v>2</v>
      </c>
      <c r="G5" s="70">
        <v>2</v>
      </c>
      <c r="H5" s="53">
        <v>60</v>
      </c>
      <c r="I5" s="88"/>
    </row>
    <row r="6" spans="1:9" x14ac:dyDescent="0.2">
      <c r="A6" s="58" t="s">
        <v>90</v>
      </c>
      <c r="B6" s="47">
        <v>3</v>
      </c>
      <c r="C6" s="70" t="s">
        <v>6</v>
      </c>
      <c r="D6" s="47">
        <v>36</v>
      </c>
      <c r="E6" s="70">
        <v>2</v>
      </c>
      <c r="F6" s="47">
        <v>2</v>
      </c>
      <c r="G6" s="70">
        <v>2</v>
      </c>
      <c r="H6" s="53">
        <v>60</v>
      </c>
      <c r="I6" s="88"/>
    </row>
    <row r="7" spans="1:9" x14ac:dyDescent="0.2">
      <c r="A7" s="58" t="s">
        <v>92</v>
      </c>
      <c r="B7" s="47">
        <v>4</v>
      </c>
      <c r="C7" s="70" t="s">
        <v>8</v>
      </c>
      <c r="D7" s="47">
        <v>42</v>
      </c>
      <c r="E7" s="70">
        <v>2</v>
      </c>
      <c r="F7" s="47">
        <v>2</v>
      </c>
      <c r="G7" s="70">
        <v>2</v>
      </c>
      <c r="H7" s="53">
        <v>60</v>
      </c>
      <c r="I7" s="88"/>
    </row>
    <row r="8" spans="1:9" x14ac:dyDescent="0.2">
      <c r="A8" s="58" t="s">
        <v>94</v>
      </c>
      <c r="B8" s="47">
        <v>5</v>
      </c>
      <c r="C8" s="70" t="s">
        <v>2</v>
      </c>
      <c r="D8" s="47">
        <v>35</v>
      </c>
      <c r="E8" s="70">
        <v>2</v>
      </c>
      <c r="F8" s="47">
        <v>2</v>
      </c>
      <c r="G8" s="70">
        <v>2</v>
      </c>
      <c r="H8" s="53">
        <v>60</v>
      </c>
      <c r="I8" s="88"/>
    </row>
    <row r="9" spans="1:9" x14ac:dyDescent="0.2">
      <c r="A9" s="58"/>
      <c r="B9" s="47"/>
      <c r="C9" s="70"/>
      <c r="D9" s="47"/>
      <c r="E9" s="70"/>
      <c r="F9" s="47"/>
      <c r="G9" s="70"/>
      <c r="H9" s="53"/>
      <c r="I9" s="88"/>
    </row>
    <row r="10" spans="1:9" x14ac:dyDescent="0.2">
      <c r="A10" s="58"/>
      <c r="B10" s="47"/>
      <c r="C10" s="70"/>
      <c r="D10" s="47"/>
      <c r="E10" s="70"/>
      <c r="F10" s="47"/>
      <c r="G10" s="70"/>
      <c r="H10" s="53"/>
      <c r="I10" s="88"/>
    </row>
    <row r="11" spans="1:9" x14ac:dyDescent="0.2">
      <c r="A11" s="58"/>
      <c r="B11" s="47"/>
      <c r="C11" s="70"/>
      <c r="D11" s="47"/>
      <c r="E11" s="70"/>
      <c r="F11" s="47"/>
      <c r="G11" s="70"/>
      <c r="H11" s="53"/>
      <c r="I11" s="88"/>
    </row>
    <row r="12" spans="1:9" x14ac:dyDescent="0.2">
      <c r="A12" s="58"/>
      <c r="B12" s="47"/>
      <c r="C12" s="70"/>
      <c r="D12" s="47"/>
      <c r="E12" s="70"/>
      <c r="F12" s="47"/>
      <c r="G12" s="70"/>
      <c r="H12" s="53"/>
      <c r="I12" s="88"/>
    </row>
    <row r="13" spans="1:9" x14ac:dyDescent="0.2">
      <c r="A13" s="58"/>
      <c r="B13" s="47"/>
      <c r="C13" s="70"/>
      <c r="D13" s="47"/>
      <c r="E13" s="70"/>
      <c r="F13" s="47"/>
      <c r="G13" s="70"/>
      <c r="H13" s="53"/>
      <c r="I13" s="88"/>
    </row>
    <row r="14" spans="1:9" x14ac:dyDescent="0.2">
      <c r="A14" s="58"/>
      <c r="B14" s="47"/>
      <c r="C14" s="70"/>
      <c r="D14" s="47"/>
      <c r="E14" s="70"/>
      <c r="F14" s="47"/>
      <c r="G14" s="70"/>
      <c r="H14" s="53"/>
      <c r="I14" s="88"/>
    </row>
    <row r="15" spans="1:9" x14ac:dyDescent="0.2">
      <c r="A15" s="58"/>
      <c r="B15" s="47"/>
      <c r="C15" s="70"/>
      <c r="D15" s="47"/>
      <c r="E15" s="70"/>
      <c r="F15" s="47"/>
      <c r="G15" s="70"/>
      <c r="H15" s="53"/>
      <c r="I15" s="88"/>
    </row>
    <row r="16" spans="1:9" x14ac:dyDescent="0.2">
      <c r="A16" s="58"/>
      <c r="B16" s="47"/>
      <c r="C16" s="70"/>
      <c r="D16" s="47"/>
      <c r="E16" s="70"/>
      <c r="F16" s="47"/>
      <c r="G16" s="70"/>
      <c r="H16" s="53"/>
      <c r="I16" s="88"/>
    </row>
    <row r="17" spans="1:9" x14ac:dyDescent="0.2">
      <c r="A17" s="58"/>
      <c r="B17" s="47"/>
      <c r="C17" s="70"/>
      <c r="D17" s="47"/>
      <c r="E17" s="70"/>
      <c r="F17" s="47"/>
      <c r="G17" s="70"/>
      <c r="H17" s="53"/>
      <c r="I17" s="88"/>
    </row>
    <row r="18" spans="1:9" x14ac:dyDescent="0.2">
      <c r="A18" s="58"/>
      <c r="B18" s="47"/>
      <c r="C18" s="70"/>
      <c r="D18" s="47"/>
      <c r="E18" s="70"/>
      <c r="F18" s="47"/>
      <c r="G18" s="70"/>
      <c r="H18" s="53"/>
      <c r="I18" s="88"/>
    </row>
    <row r="19" spans="1:9" x14ac:dyDescent="0.2">
      <c r="A19" s="58"/>
      <c r="B19" s="47"/>
      <c r="C19" s="70"/>
      <c r="D19" s="47"/>
      <c r="E19" s="70"/>
      <c r="F19" s="47"/>
      <c r="G19" s="70"/>
      <c r="H19" s="53"/>
      <c r="I19" s="88"/>
    </row>
    <row r="20" spans="1:9" x14ac:dyDescent="0.2">
      <c r="A20" s="58"/>
      <c r="B20" s="47"/>
      <c r="C20" s="70"/>
      <c r="D20" s="47"/>
      <c r="E20" s="70"/>
      <c r="F20" s="47"/>
      <c r="G20" s="70"/>
      <c r="H20" s="53"/>
      <c r="I20" s="88"/>
    </row>
    <row r="21" spans="1:9" x14ac:dyDescent="0.2">
      <c r="A21" s="58"/>
      <c r="B21" s="47"/>
      <c r="C21" s="70"/>
      <c r="D21" s="47"/>
      <c r="E21" s="70"/>
      <c r="F21" s="47"/>
      <c r="G21" s="70"/>
      <c r="H21" s="53"/>
      <c r="I21" s="88"/>
    </row>
    <row r="22" spans="1:9" x14ac:dyDescent="0.2">
      <c r="A22" s="58"/>
      <c r="B22" s="47"/>
      <c r="C22" s="70"/>
      <c r="D22" s="47"/>
      <c r="E22" s="70"/>
      <c r="F22" s="47"/>
      <c r="G22" s="70"/>
      <c r="H22" s="53"/>
      <c r="I22" s="88"/>
    </row>
    <row r="23" spans="1:9" x14ac:dyDescent="0.2">
      <c r="A23" s="58"/>
      <c r="B23" s="47"/>
      <c r="C23" s="70"/>
      <c r="D23" s="47"/>
      <c r="E23" s="70"/>
      <c r="F23" s="47"/>
      <c r="G23" s="70"/>
      <c r="H23" s="53"/>
      <c r="I23" s="88"/>
    </row>
    <row r="24" spans="1:9" x14ac:dyDescent="0.2">
      <c r="A24" s="58"/>
      <c r="B24" s="47"/>
      <c r="C24" s="70"/>
      <c r="D24" s="47"/>
      <c r="E24" s="70"/>
      <c r="F24" s="47"/>
      <c r="G24" s="70"/>
      <c r="H24" s="53"/>
      <c r="I24" s="88"/>
    </row>
    <row r="25" spans="1:9" x14ac:dyDescent="0.2">
      <c r="A25" s="58"/>
      <c r="B25" s="47"/>
      <c r="C25" s="70"/>
      <c r="D25" s="47"/>
      <c r="E25" s="70"/>
      <c r="F25" s="47"/>
      <c r="G25" s="70"/>
      <c r="H25" s="53"/>
      <c r="I25" s="88"/>
    </row>
    <row r="26" spans="1:9" x14ac:dyDescent="0.2">
      <c r="A26" s="58"/>
      <c r="B26" s="47"/>
      <c r="C26" s="70"/>
      <c r="D26" s="47"/>
      <c r="E26" s="70"/>
      <c r="F26" s="47"/>
      <c r="G26" s="70"/>
      <c r="H26" s="53"/>
      <c r="I26" s="88"/>
    </row>
    <row r="27" spans="1:9" x14ac:dyDescent="0.2">
      <c r="A27" s="58"/>
      <c r="B27" s="47"/>
      <c r="C27" s="70"/>
      <c r="D27" s="47"/>
      <c r="E27" s="70"/>
      <c r="F27" s="47"/>
      <c r="G27" s="70"/>
      <c r="H27" s="53"/>
      <c r="I27" s="88"/>
    </row>
    <row r="28" spans="1:9" x14ac:dyDescent="0.2">
      <c r="A28" s="58"/>
      <c r="B28" s="47"/>
      <c r="C28" s="70"/>
      <c r="D28" s="47"/>
      <c r="E28" s="70"/>
      <c r="F28" s="47"/>
      <c r="G28" s="70"/>
      <c r="H28" s="53"/>
      <c r="I28" s="88"/>
    </row>
    <row r="29" spans="1:9" x14ac:dyDescent="0.2">
      <c r="A29" s="58"/>
      <c r="B29" s="47"/>
      <c r="C29" s="70"/>
      <c r="D29" s="47"/>
      <c r="E29" s="70"/>
      <c r="F29" s="47"/>
      <c r="G29" s="70"/>
      <c r="H29" s="53"/>
      <c r="I29" s="88"/>
    </row>
    <row r="30" spans="1:9" x14ac:dyDescent="0.2">
      <c r="A30" s="58"/>
      <c r="B30" s="47"/>
      <c r="C30" s="70"/>
      <c r="D30" s="47"/>
      <c r="E30" s="70"/>
      <c r="F30" s="47"/>
      <c r="G30" s="70"/>
      <c r="H30" s="53"/>
      <c r="I30" s="88"/>
    </row>
    <row r="31" spans="1:9" x14ac:dyDescent="0.2">
      <c r="A31" s="58"/>
      <c r="B31" s="47"/>
      <c r="C31" s="70"/>
      <c r="D31" s="47"/>
      <c r="E31" s="70"/>
      <c r="F31" s="47"/>
      <c r="G31" s="70"/>
      <c r="H31" s="53"/>
      <c r="I31" s="88"/>
    </row>
    <row r="32" spans="1:9" x14ac:dyDescent="0.2">
      <c r="A32" s="58"/>
      <c r="B32" s="47"/>
      <c r="C32" s="70"/>
      <c r="D32" s="47"/>
      <c r="E32" s="70"/>
      <c r="F32" s="47"/>
      <c r="G32" s="70"/>
      <c r="H32" s="53"/>
      <c r="I32" s="88"/>
    </row>
    <row r="33" spans="1:9" x14ac:dyDescent="0.2">
      <c r="A33" s="58"/>
      <c r="B33" s="47"/>
      <c r="C33" s="70"/>
      <c r="D33" s="47"/>
      <c r="E33" s="70"/>
      <c r="F33" s="47"/>
      <c r="G33" s="70"/>
      <c r="H33" s="53"/>
      <c r="I33" s="88"/>
    </row>
    <row r="34" spans="1:9" x14ac:dyDescent="0.2">
      <c r="A34" s="58"/>
      <c r="B34" s="47"/>
      <c r="C34" s="70"/>
      <c r="D34" s="47"/>
      <c r="E34" s="70"/>
      <c r="F34" s="47"/>
      <c r="G34" s="70"/>
      <c r="H34" s="53"/>
      <c r="I34" s="88"/>
    </row>
    <row r="35" spans="1:9" x14ac:dyDescent="0.2">
      <c r="A35" s="58"/>
      <c r="B35" s="47"/>
      <c r="C35" s="70"/>
      <c r="D35" s="47"/>
      <c r="E35" s="70"/>
      <c r="F35" s="47"/>
      <c r="G35" s="70"/>
      <c r="H35" s="53"/>
      <c r="I35" s="88"/>
    </row>
    <row r="36" spans="1:9" x14ac:dyDescent="0.2">
      <c r="A36" s="58"/>
      <c r="B36" s="47"/>
      <c r="C36" s="70"/>
      <c r="D36" s="47"/>
      <c r="E36" s="70"/>
      <c r="F36" s="47"/>
      <c r="G36" s="70"/>
      <c r="H36" s="53"/>
      <c r="I36" s="88"/>
    </row>
    <row r="37" spans="1:9" x14ac:dyDescent="0.2">
      <c r="A37" s="58"/>
      <c r="B37" s="47"/>
      <c r="C37" s="70"/>
      <c r="D37" s="47"/>
      <c r="E37" s="70"/>
      <c r="F37" s="47"/>
      <c r="G37" s="70"/>
      <c r="H37" s="53"/>
      <c r="I37" s="88"/>
    </row>
    <row r="38" spans="1:9" x14ac:dyDescent="0.2">
      <c r="A38" s="58"/>
      <c r="B38" s="47"/>
      <c r="C38" s="70"/>
      <c r="D38" s="47"/>
      <c r="E38" s="70"/>
      <c r="F38" s="47"/>
      <c r="G38" s="70"/>
      <c r="H38" s="53"/>
      <c r="I38" s="88"/>
    </row>
    <row r="39" spans="1:9" x14ac:dyDescent="0.2">
      <c r="A39" s="58"/>
      <c r="B39" s="47"/>
      <c r="C39" s="70"/>
      <c r="D39" s="47"/>
      <c r="E39" s="70"/>
      <c r="F39" s="47"/>
      <c r="G39" s="70"/>
      <c r="H39" s="53"/>
      <c r="I39" s="88"/>
    </row>
    <row r="40" spans="1:9" x14ac:dyDescent="0.2">
      <c r="A40" s="58"/>
      <c r="B40" s="47"/>
      <c r="C40" s="70"/>
      <c r="D40" s="47"/>
      <c r="E40" s="70"/>
      <c r="F40" s="47"/>
      <c r="G40" s="70"/>
      <c r="H40" s="53"/>
      <c r="I40" s="88"/>
    </row>
    <row r="41" spans="1:9" x14ac:dyDescent="0.2">
      <c r="A41" s="58"/>
      <c r="B41" s="47"/>
      <c r="C41" s="70"/>
      <c r="D41" s="47"/>
      <c r="E41" s="70"/>
      <c r="F41" s="47"/>
      <c r="G41" s="70"/>
      <c r="H41" s="53"/>
      <c r="I41" s="88"/>
    </row>
    <row r="42" spans="1:9" x14ac:dyDescent="0.2">
      <c r="A42" s="58"/>
      <c r="B42" s="47"/>
      <c r="C42" s="70"/>
      <c r="D42" s="47"/>
      <c r="E42" s="70"/>
      <c r="F42" s="47"/>
      <c r="G42" s="70"/>
      <c r="H42" s="53"/>
      <c r="I42" s="88"/>
    </row>
    <row r="43" spans="1:9" x14ac:dyDescent="0.2">
      <c r="A43" s="58"/>
      <c r="B43" s="47"/>
      <c r="C43" s="70"/>
      <c r="D43" s="47"/>
      <c r="E43" s="70"/>
      <c r="F43" s="47"/>
      <c r="G43" s="70"/>
      <c r="H43" s="53"/>
      <c r="I43" s="88"/>
    </row>
    <row r="44" spans="1:9" x14ac:dyDescent="0.2">
      <c r="A44" s="58"/>
      <c r="B44" s="47"/>
      <c r="C44" s="70"/>
      <c r="D44" s="47"/>
      <c r="E44" s="70"/>
      <c r="F44" s="47"/>
      <c r="G44" s="70"/>
      <c r="H44" s="53"/>
      <c r="I44" s="88"/>
    </row>
    <row r="45" spans="1:9" x14ac:dyDescent="0.2">
      <c r="A45" s="58"/>
      <c r="B45" s="47"/>
      <c r="C45" s="70"/>
      <c r="D45" s="47"/>
      <c r="E45" s="70"/>
      <c r="F45" s="47"/>
      <c r="G45" s="70"/>
      <c r="H45" s="53"/>
      <c r="I45" s="88"/>
    </row>
    <row r="46" spans="1:9" x14ac:dyDescent="0.2">
      <c r="A46" s="58"/>
      <c r="B46" s="47"/>
      <c r="C46" s="70"/>
      <c r="D46" s="47"/>
      <c r="E46" s="70"/>
      <c r="F46" s="47"/>
      <c r="G46" s="70"/>
      <c r="H46" s="53"/>
      <c r="I46" s="88"/>
    </row>
    <row r="47" spans="1:9" x14ac:dyDescent="0.2">
      <c r="A47" s="58"/>
      <c r="B47" s="47"/>
      <c r="C47" s="70"/>
      <c r="D47" s="47"/>
      <c r="E47" s="70"/>
      <c r="F47" s="47"/>
      <c r="G47" s="70"/>
      <c r="H47" s="53"/>
      <c r="I47" s="88"/>
    </row>
    <row r="48" spans="1:9" x14ac:dyDescent="0.2">
      <c r="A48" s="58"/>
      <c r="B48" s="47"/>
      <c r="C48" s="70"/>
      <c r="D48" s="47"/>
      <c r="E48" s="70"/>
      <c r="F48" s="47"/>
      <c r="G48" s="70"/>
      <c r="H48" s="53"/>
      <c r="I48" s="88"/>
    </row>
    <row r="49" spans="1:9" x14ac:dyDescent="0.2">
      <c r="A49" s="58"/>
      <c r="B49" s="47"/>
      <c r="C49" s="70"/>
      <c r="D49" s="47"/>
      <c r="E49" s="70"/>
      <c r="F49" s="47"/>
      <c r="G49" s="70"/>
      <c r="H49" s="53"/>
      <c r="I49" s="88"/>
    </row>
    <row r="50" spans="1:9" x14ac:dyDescent="0.2">
      <c r="A50" s="58"/>
      <c r="B50" s="47"/>
      <c r="C50" s="70"/>
      <c r="D50" s="47"/>
      <c r="E50" s="70"/>
      <c r="F50" s="47"/>
      <c r="G50" s="70"/>
      <c r="H50" s="53"/>
      <c r="I50" s="88"/>
    </row>
    <row r="51" spans="1:9" x14ac:dyDescent="0.2">
      <c r="A51" s="58"/>
      <c r="B51" s="47"/>
      <c r="C51" s="70"/>
      <c r="D51" s="47"/>
      <c r="E51" s="70"/>
      <c r="F51" s="47"/>
      <c r="G51" s="70"/>
      <c r="H51" s="53"/>
      <c r="I51" s="88"/>
    </row>
    <row r="52" spans="1:9" x14ac:dyDescent="0.2">
      <c r="A52" s="58"/>
      <c r="B52" s="47"/>
      <c r="C52" s="70"/>
      <c r="D52" s="47"/>
      <c r="E52" s="70"/>
      <c r="F52" s="47"/>
      <c r="G52" s="70"/>
      <c r="H52" s="53"/>
      <c r="I52" s="88"/>
    </row>
    <row r="53" spans="1:9" x14ac:dyDescent="0.2">
      <c r="A53" s="58"/>
      <c r="B53" s="47"/>
      <c r="C53" s="70"/>
      <c r="D53" s="47"/>
      <c r="E53" s="70"/>
      <c r="F53" s="47"/>
      <c r="G53" s="70"/>
      <c r="H53" s="53"/>
      <c r="I53" s="88"/>
    </row>
    <row r="54" spans="1:9" x14ac:dyDescent="0.2">
      <c r="A54" s="58"/>
      <c r="B54" s="47"/>
      <c r="C54" s="70"/>
      <c r="D54" s="47"/>
      <c r="E54" s="70"/>
      <c r="F54" s="47"/>
      <c r="G54" s="70"/>
      <c r="H54" s="53"/>
      <c r="I54" s="88"/>
    </row>
    <row r="55" spans="1:9" x14ac:dyDescent="0.2">
      <c r="A55" s="58"/>
      <c r="B55" s="47"/>
      <c r="C55" s="70"/>
      <c r="D55" s="47"/>
      <c r="E55" s="70"/>
      <c r="F55" s="47"/>
      <c r="G55" s="70"/>
      <c r="H55" s="53"/>
      <c r="I55" s="88"/>
    </row>
    <row r="56" spans="1:9" x14ac:dyDescent="0.2">
      <c r="A56" s="58"/>
      <c r="B56" s="47"/>
      <c r="C56" s="70"/>
      <c r="D56" s="47"/>
      <c r="E56" s="70"/>
      <c r="F56" s="47"/>
      <c r="G56" s="70"/>
      <c r="H56" s="53"/>
      <c r="I56" s="88"/>
    </row>
    <row r="57" spans="1:9" x14ac:dyDescent="0.2">
      <c r="A57" s="58"/>
      <c r="B57" s="47"/>
      <c r="C57" s="70"/>
      <c r="D57" s="47"/>
      <c r="E57" s="70"/>
      <c r="F57" s="47"/>
      <c r="G57" s="70"/>
      <c r="H57" s="53"/>
      <c r="I57" s="88"/>
    </row>
    <row r="58" spans="1:9" x14ac:dyDescent="0.2">
      <c r="A58" s="58"/>
      <c r="B58" s="47"/>
      <c r="C58" s="70"/>
      <c r="D58" s="47"/>
      <c r="E58" s="70"/>
      <c r="F58" s="47"/>
      <c r="G58" s="70"/>
      <c r="H58" s="53"/>
      <c r="I58" s="88"/>
    </row>
    <row r="59" spans="1:9" x14ac:dyDescent="0.2">
      <c r="A59" s="58"/>
      <c r="B59" s="47"/>
      <c r="C59" s="70"/>
      <c r="D59" s="47"/>
      <c r="E59" s="70"/>
      <c r="F59" s="47"/>
      <c r="G59" s="70"/>
      <c r="H59" s="53"/>
      <c r="I59" s="88"/>
    </row>
    <row r="60" spans="1:9" x14ac:dyDescent="0.2">
      <c r="A60" s="58"/>
      <c r="B60" s="47"/>
      <c r="C60" s="70"/>
      <c r="D60" s="47"/>
      <c r="E60" s="70"/>
      <c r="F60" s="47"/>
      <c r="G60" s="70"/>
      <c r="H60" s="53"/>
      <c r="I60" s="88"/>
    </row>
    <row r="61" spans="1:9" x14ac:dyDescent="0.2">
      <c r="A61" s="58"/>
      <c r="B61" s="47"/>
      <c r="C61" s="70"/>
      <c r="D61" s="47"/>
      <c r="E61" s="70"/>
      <c r="F61" s="47"/>
      <c r="G61" s="70"/>
      <c r="H61" s="53"/>
      <c r="I61" s="88"/>
    </row>
    <row r="62" spans="1:9" x14ac:dyDescent="0.2">
      <c r="A62" s="58"/>
      <c r="B62" s="47"/>
      <c r="C62" s="70"/>
      <c r="D62" s="47"/>
      <c r="E62" s="70"/>
      <c r="F62" s="47"/>
      <c r="G62" s="70"/>
      <c r="H62" s="53"/>
      <c r="I62" s="88"/>
    </row>
    <row r="63" spans="1:9" x14ac:dyDescent="0.2">
      <c r="A63" s="58"/>
      <c r="B63" s="47"/>
      <c r="C63" s="70"/>
      <c r="D63" s="47"/>
      <c r="E63" s="70"/>
      <c r="F63" s="47"/>
      <c r="G63" s="70"/>
      <c r="H63" s="53"/>
      <c r="I63" s="88"/>
    </row>
    <row r="64" spans="1:9" x14ac:dyDescent="0.2">
      <c r="A64" s="58"/>
      <c r="B64" s="47"/>
      <c r="C64" s="70"/>
      <c r="D64" s="47"/>
      <c r="E64" s="70"/>
      <c r="F64" s="47"/>
      <c r="G64" s="70"/>
      <c r="H64" s="53"/>
      <c r="I64" s="88"/>
    </row>
    <row r="65" spans="1:9" x14ac:dyDescent="0.2">
      <c r="A65" s="58"/>
      <c r="B65" s="47"/>
      <c r="C65" s="70"/>
      <c r="D65" s="47"/>
      <c r="E65" s="70"/>
      <c r="F65" s="47"/>
      <c r="G65" s="70"/>
      <c r="H65" s="53"/>
      <c r="I65" s="88"/>
    </row>
    <row r="66" spans="1:9" x14ac:dyDescent="0.2">
      <c r="A66" s="58"/>
      <c r="B66" s="47"/>
      <c r="C66" s="70"/>
      <c r="D66" s="47"/>
      <c r="E66" s="70"/>
      <c r="F66" s="47"/>
      <c r="G66" s="70"/>
      <c r="H66" s="53"/>
      <c r="I66" s="88"/>
    </row>
    <row r="67" spans="1:9" x14ac:dyDescent="0.2">
      <c r="A67" s="58"/>
      <c r="B67" s="47"/>
      <c r="C67" s="70"/>
      <c r="D67" s="47"/>
      <c r="E67" s="70"/>
      <c r="F67" s="47"/>
      <c r="G67" s="70"/>
      <c r="H67" s="53"/>
      <c r="I67" s="88"/>
    </row>
    <row r="68" spans="1:9" x14ac:dyDescent="0.2">
      <c r="A68" s="58"/>
      <c r="B68" s="47"/>
      <c r="C68" s="70"/>
      <c r="D68" s="47"/>
      <c r="E68" s="70"/>
      <c r="F68" s="47"/>
      <c r="G68" s="70"/>
      <c r="H68" s="53"/>
      <c r="I68" s="88"/>
    </row>
    <row r="69" spans="1:9" x14ac:dyDescent="0.2">
      <c r="A69" s="58"/>
      <c r="B69" s="47"/>
      <c r="C69" s="70"/>
      <c r="D69" s="47"/>
      <c r="E69" s="70"/>
      <c r="F69" s="47"/>
      <c r="G69" s="70"/>
      <c r="H69" s="53"/>
      <c r="I69" s="88"/>
    </row>
    <row r="70" spans="1:9" x14ac:dyDescent="0.2">
      <c r="A70" s="58"/>
      <c r="B70" s="47"/>
      <c r="C70" s="70"/>
      <c r="D70" s="47"/>
      <c r="E70" s="70"/>
      <c r="F70" s="47"/>
      <c r="G70" s="70"/>
      <c r="H70" s="53"/>
      <c r="I70" s="88"/>
    </row>
    <row r="71" spans="1:9" x14ac:dyDescent="0.2">
      <c r="A71" s="58"/>
      <c r="B71" s="47"/>
      <c r="C71" s="70"/>
      <c r="D71" s="47"/>
      <c r="E71" s="70"/>
      <c r="F71" s="47"/>
      <c r="G71" s="70"/>
      <c r="H71" s="53"/>
      <c r="I71" s="88"/>
    </row>
    <row r="72" spans="1:9" x14ac:dyDescent="0.2">
      <c r="A72" s="58"/>
      <c r="B72" s="47"/>
      <c r="C72" s="70"/>
      <c r="D72" s="47"/>
      <c r="E72" s="70"/>
      <c r="F72" s="47"/>
      <c r="G72" s="70"/>
      <c r="H72" s="53"/>
      <c r="I72" s="88"/>
    </row>
    <row r="73" spans="1:9" x14ac:dyDescent="0.2">
      <c r="A73" s="58"/>
      <c r="B73" s="47"/>
      <c r="C73" s="70"/>
      <c r="D73" s="47"/>
      <c r="E73" s="70"/>
      <c r="F73" s="47"/>
      <c r="G73" s="70"/>
      <c r="H73" s="53"/>
      <c r="I73" s="88"/>
    </row>
    <row r="74" spans="1:9" x14ac:dyDescent="0.2">
      <c r="A74" s="58"/>
      <c r="B74" s="47"/>
      <c r="C74" s="70"/>
      <c r="D74" s="47"/>
      <c r="E74" s="70"/>
      <c r="F74" s="47"/>
      <c r="G74" s="70"/>
      <c r="H74" s="53"/>
      <c r="I74" s="88"/>
    </row>
    <row r="75" spans="1:9" x14ac:dyDescent="0.2">
      <c r="A75" s="58"/>
      <c r="B75" s="47"/>
      <c r="C75" s="70"/>
      <c r="D75" s="47"/>
      <c r="E75" s="70"/>
      <c r="F75" s="47"/>
      <c r="G75" s="70"/>
      <c r="H75" s="53"/>
      <c r="I75" s="88"/>
    </row>
    <row r="76" spans="1:9" x14ac:dyDescent="0.2">
      <c r="A76" s="58"/>
      <c r="B76" s="47"/>
      <c r="C76" s="70"/>
      <c r="D76" s="47"/>
      <c r="E76" s="70"/>
      <c r="F76" s="47"/>
      <c r="G76" s="70"/>
      <c r="H76" s="53"/>
      <c r="I76" s="88"/>
    </row>
    <row r="77" spans="1:9" x14ac:dyDescent="0.2">
      <c r="A77" s="58"/>
      <c r="B77" s="47"/>
      <c r="C77" s="70"/>
      <c r="D77" s="47"/>
      <c r="E77" s="70"/>
      <c r="F77" s="47"/>
      <c r="G77" s="70"/>
      <c r="H77" s="53"/>
      <c r="I77" s="88"/>
    </row>
    <row r="78" spans="1:9" x14ac:dyDescent="0.2">
      <c r="A78" s="58"/>
      <c r="B78" s="47"/>
      <c r="C78" s="70"/>
      <c r="D78" s="47"/>
      <c r="E78" s="70"/>
      <c r="F78" s="47"/>
      <c r="G78" s="70"/>
      <c r="H78" s="53"/>
      <c r="I78" s="88"/>
    </row>
    <row r="79" spans="1:9" x14ac:dyDescent="0.2">
      <c r="A79" s="58"/>
      <c r="B79" s="47"/>
      <c r="C79" s="70"/>
      <c r="D79" s="47"/>
      <c r="E79" s="70"/>
      <c r="F79" s="47"/>
      <c r="G79" s="70"/>
      <c r="H79" s="53"/>
      <c r="I79" s="88"/>
    </row>
    <row r="80" spans="1:9" x14ac:dyDescent="0.2">
      <c r="A80" s="58"/>
      <c r="B80" s="47"/>
      <c r="C80" s="70"/>
      <c r="D80" s="47"/>
      <c r="E80" s="70"/>
      <c r="F80" s="47"/>
      <c r="G80" s="70"/>
      <c r="H80" s="53"/>
      <c r="I80" s="88"/>
    </row>
    <row r="81" spans="1:9" x14ac:dyDescent="0.2">
      <c r="A81" s="58"/>
      <c r="B81" s="47"/>
      <c r="C81" s="70"/>
      <c r="D81" s="47"/>
      <c r="E81" s="70"/>
      <c r="F81" s="47"/>
      <c r="G81" s="70"/>
      <c r="H81" s="53"/>
      <c r="I81" s="88"/>
    </row>
    <row r="82" spans="1:9" x14ac:dyDescent="0.2">
      <c r="A82" s="58"/>
      <c r="B82" s="47"/>
      <c r="C82" s="70"/>
      <c r="D82" s="47"/>
      <c r="E82" s="70"/>
      <c r="F82" s="47"/>
      <c r="G82" s="70"/>
      <c r="H82" s="53"/>
      <c r="I82" s="88"/>
    </row>
    <row r="83" spans="1:9" x14ac:dyDescent="0.2">
      <c r="A83" s="58"/>
      <c r="B83" s="47"/>
      <c r="C83" s="70"/>
      <c r="D83" s="47"/>
      <c r="E83" s="70"/>
      <c r="F83" s="47"/>
      <c r="G83" s="70"/>
      <c r="H83" s="53"/>
      <c r="I83" s="88"/>
    </row>
    <row r="84" spans="1:9" x14ac:dyDescent="0.2">
      <c r="A84" s="58"/>
      <c r="B84" s="47"/>
      <c r="C84" s="70"/>
      <c r="D84" s="47"/>
      <c r="E84" s="70"/>
      <c r="F84" s="47"/>
      <c r="G84" s="70"/>
      <c r="H84" s="53"/>
      <c r="I84" s="88"/>
    </row>
    <row r="85" spans="1:9" x14ac:dyDescent="0.2">
      <c r="A85" s="58"/>
      <c r="B85" s="47"/>
      <c r="C85" s="70"/>
      <c r="D85" s="47"/>
      <c r="E85" s="70"/>
      <c r="F85" s="47"/>
      <c r="G85" s="70"/>
      <c r="H85" s="53"/>
      <c r="I85" s="88"/>
    </row>
    <row r="86" spans="1:9" x14ac:dyDescent="0.2">
      <c r="A86" s="58"/>
      <c r="B86" s="47"/>
      <c r="C86" s="70"/>
      <c r="D86" s="47"/>
      <c r="E86" s="70"/>
      <c r="F86" s="47"/>
      <c r="G86" s="70"/>
      <c r="H86" s="53"/>
      <c r="I86" s="88"/>
    </row>
    <row r="87" spans="1:9" x14ac:dyDescent="0.2">
      <c r="A87" s="58"/>
      <c r="B87" s="47"/>
      <c r="C87" s="70"/>
      <c r="D87" s="47"/>
      <c r="E87" s="70"/>
      <c r="F87" s="47"/>
      <c r="G87" s="70"/>
      <c r="H87" s="53"/>
      <c r="I87" s="88"/>
    </row>
    <row r="88" spans="1:9" x14ac:dyDescent="0.2">
      <c r="A88" s="58"/>
      <c r="B88" s="47"/>
      <c r="C88" s="70"/>
      <c r="D88" s="47"/>
      <c r="E88" s="70"/>
      <c r="F88" s="47"/>
      <c r="G88" s="70"/>
      <c r="H88" s="53"/>
      <c r="I88" s="88"/>
    </row>
    <row r="89" spans="1:9" x14ac:dyDescent="0.2">
      <c r="A89" s="58"/>
      <c r="B89" s="47"/>
      <c r="C89" s="70"/>
      <c r="D89" s="47"/>
      <c r="E89" s="70"/>
      <c r="F89" s="47"/>
      <c r="G89" s="70"/>
      <c r="H89" s="53"/>
      <c r="I89" s="88"/>
    </row>
    <row r="90" spans="1:9" x14ac:dyDescent="0.2">
      <c r="A90" s="58"/>
      <c r="B90" s="47"/>
      <c r="C90" s="70"/>
      <c r="D90" s="47"/>
      <c r="E90" s="70"/>
      <c r="F90" s="47"/>
      <c r="G90" s="70"/>
      <c r="H90" s="53"/>
      <c r="I90" s="88"/>
    </row>
    <row r="91" spans="1:9" x14ac:dyDescent="0.2">
      <c r="A91" s="58"/>
      <c r="B91" s="47"/>
      <c r="C91" s="70"/>
      <c r="D91" s="47"/>
      <c r="E91" s="70"/>
      <c r="F91" s="47"/>
      <c r="G91" s="70"/>
      <c r="H91" s="53"/>
      <c r="I91" s="88"/>
    </row>
    <row r="92" spans="1:9" x14ac:dyDescent="0.2">
      <c r="A92" s="58"/>
      <c r="B92" s="47"/>
      <c r="C92" s="70"/>
      <c r="D92" s="47"/>
      <c r="E92" s="70"/>
      <c r="F92" s="47"/>
      <c r="G92" s="70"/>
      <c r="H92" s="53"/>
      <c r="I92" s="88"/>
    </row>
    <row r="93" spans="1:9" x14ac:dyDescent="0.2">
      <c r="A93" s="58"/>
      <c r="B93" s="47"/>
      <c r="C93" s="70"/>
      <c r="D93" s="47"/>
      <c r="E93" s="70"/>
      <c r="F93" s="47"/>
      <c r="G93" s="70"/>
      <c r="H93" s="53"/>
      <c r="I93" s="88"/>
    </row>
    <row r="94" spans="1:9" x14ac:dyDescent="0.2">
      <c r="A94" s="58"/>
      <c r="B94" s="47"/>
      <c r="C94" s="70"/>
      <c r="D94" s="47"/>
      <c r="E94" s="70"/>
      <c r="F94" s="47"/>
      <c r="G94" s="70"/>
      <c r="H94" s="53"/>
      <c r="I94" s="88"/>
    </row>
    <row r="95" spans="1:9" x14ac:dyDescent="0.2">
      <c r="A95" s="58"/>
      <c r="B95" s="47"/>
      <c r="C95" s="70"/>
      <c r="D95" s="47"/>
      <c r="E95" s="70"/>
      <c r="F95" s="47"/>
      <c r="G95" s="70"/>
      <c r="H95" s="53"/>
      <c r="I95" s="88"/>
    </row>
    <row r="96" spans="1:9" x14ac:dyDescent="0.2">
      <c r="A96" s="58"/>
      <c r="B96" s="47"/>
      <c r="C96" s="70"/>
      <c r="D96" s="47"/>
      <c r="E96" s="70"/>
      <c r="F96" s="47"/>
      <c r="G96" s="70"/>
      <c r="H96" s="53"/>
      <c r="I96" s="88"/>
    </row>
    <row r="97" spans="1:9" x14ac:dyDescent="0.2">
      <c r="A97" s="58"/>
      <c r="B97" s="47"/>
      <c r="C97" s="70"/>
      <c r="D97" s="47"/>
      <c r="E97" s="70"/>
      <c r="F97" s="47"/>
      <c r="G97" s="70"/>
      <c r="H97" s="53"/>
      <c r="I97" s="88"/>
    </row>
    <row r="98" spans="1:9" x14ac:dyDescent="0.2">
      <c r="A98" s="58"/>
      <c r="B98" s="47"/>
      <c r="C98" s="70"/>
      <c r="D98" s="47"/>
      <c r="E98" s="70"/>
      <c r="F98" s="47"/>
      <c r="G98" s="70"/>
      <c r="H98" s="53"/>
      <c r="I98" s="88"/>
    </row>
    <row r="99" spans="1:9" x14ac:dyDescent="0.2">
      <c r="A99" s="58"/>
      <c r="B99" s="47"/>
      <c r="C99" s="70"/>
      <c r="D99" s="47"/>
      <c r="E99" s="70"/>
      <c r="F99" s="47"/>
      <c r="G99" s="70"/>
      <c r="H99" s="53"/>
      <c r="I99" s="88"/>
    </row>
    <row r="100" spans="1:9" x14ac:dyDescent="0.2">
      <c r="A100" s="58"/>
      <c r="B100" s="47"/>
      <c r="C100" s="70"/>
      <c r="D100" s="47"/>
      <c r="E100" s="70"/>
      <c r="F100" s="47"/>
      <c r="G100" s="70"/>
      <c r="H100" s="53"/>
      <c r="I100" s="88"/>
    </row>
    <row r="101" spans="1:9" x14ac:dyDescent="0.2">
      <c r="A101" s="58"/>
      <c r="B101" s="47"/>
      <c r="C101" s="70"/>
      <c r="D101" s="47"/>
      <c r="E101" s="70"/>
      <c r="F101" s="47"/>
      <c r="G101" s="70"/>
      <c r="H101" s="53"/>
      <c r="I101" s="88"/>
    </row>
    <row r="102" spans="1:9" x14ac:dyDescent="0.2">
      <c r="A102" s="58"/>
      <c r="B102" s="47"/>
      <c r="C102" s="70"/>
      <c r="D102" s="47"/>
      <c r="E102" s="70"/>
      <c r="F102" s="47"/>
      <c r="G102" s="70"/>
      <c r="H102" s="53"/>
      <c r="I102" s="88"/>
    </row>
    <row r="103" spans="1:9" x14ac:dyDescent="0.2">
      <c r="A103" s="58"/>
      <c r="B103" s="47"/>
      <c r="C103" s="70"/>
      <c r="D103" s="47"/>
      <c r="E103" s="70"/>
      <c r="F103" s="47"/>
      <c r="G103" s="70"/>
      <c r="H103" s="53"/>
      <c r="I103" s="88"/>
    </row>
    <row r="104" spans="1:9" x14ac:dyDescent="0.2">
      <c r="A104" s="58"/>
      <c r="B104" s="47"/>
      <c r="C104" s="70"/>
      <c r="D104" s="47"/>
      <c r="E104" s="70"/>
      <c r="F104" s="47"/>
      <c r="G104" s="70"/>
      <c r="H104" s="53"/>
      <c r="I104" s="88"/>
    </row>
    <row r="105" spans="1:9" x14ac:dyDescent="0.2">
      <c r="A105" s="58"/>
      <c r="B105" s="47"/>
      <c r="C105" s="70"/>
      <c r="D105" s="47"/>
      <c r="E105" s="70"/>
      <c r="F105" s="47"/>
      <c r="G105" s="70"/>
      <c r="H105" s="53"/>
      <c r="I105" s="88"/>
    </row>
    <row r="106" spans="1:9" x14ac:dyDescent="0.2">
      <c r="A106" s="58"/>
      <c r="B106" s="47"/>
      <c r="C106" s="70"/>
      <c r="D106" s="47"/>
      <c r="E106" s="70"/>
      <c r="F106" s="47"/>
      <c r="G106" s="70"/>
      <c r="H106" s="53"/>
      <c r="I106" s="88"/>
    </row>
    <row r="107" spans="1:9" x14ac:dyDescent="0.2">
      <c r="A107" s="58"/>
      <c r="B107" s="47"/>
      <c r="C107" s="70"/>
      <c r="D107" s="47"/>
      <c r="E107" s="70"/>
      <c r="F107" s="47"/>
      <c r="G107" s="70"/>
      <c r="H107" s="53"/>
      <c r="I107" s="88"/>
    </row>
    <row r="108" spans="1:9" x14ac:dyDescent="0.2">
      <c r="A108" s="58"/>
      <c r="B108" s="47"/>
      <c r="C108" s="70"/>
      <c r="D108" s="47"/>
      <c r="E108" s="70"/>
      <c r="F108" s="47"/>
      <c r="G108" s="70"/>
      <c r="H108" s="53"/>
      <c r="I108" s="88"/>
    </row>
    <row r="109" spans="1:9" x14ac:dyDescent="0.2">
      <c r="A109" s="58"/>
      <c r="B109" s="47"/>
      <c r="C109" s="70"/>
      <c r="D109" s="47"/>
      <c r="E109" s="70"/>
      <c r="F109" s="47"/>
      <c r="G109" s="70"/>
      <c r="H109" s="53"/>
      <c r="I109" s="88"/>
    </row>
    <row r="110" spans="1:9" x14ac:dyDescent="0.2">
      <c r="A110" s="58"/>
      <c r="B110" s="47"/>
      <c r="C110" s="70"/>
      <c r="D110" s="47"/>
      <c r="E110" s="70"/>
      <c r="F110" s="47"/>
      <c r="G110" s="70"/>
      <c r="H110" s="53"/>
      <c r="I110" s="88"/>
    </row>
    <row r="111" spans="1:9" x14ac:dyDescent="0.2">
      <c r="A111" s="58"/>
      <c r="B111" s="47"/>
      <c r="C111" s="70"/>
      <c r="D111" s="47"/>
      <c r="E111" s="70"/>
      <c r="F111" s="47"/>
      <c r="G111" s="70"/>
      <c r="H111" s="53"/>
      <c r="I111" s="88"/>
    </row>
    <row r="112" spans="1:9" x14ac:dyDescent="0.2">
      <c r="A112" s="58"/>
      <c r="B112" s="47"/>
      <c r="C112" s="70"/>
      <c r="D112" s="47"/>
      <c r="E112" s="70"/>
      <c r="F112" s="47"/>
      <c r="G112" s="70"/>
      <c r="H112" s="53"/>
      <c r="I112" s="88"/>
    </row>
    <row r="113" spans="1:9" x14ac:dyDescent="0.2">
      <c r="A113" s="58"/>
      <c r="B113" s="47"/>
      <c r="C113" s="70"/>
      <c r="D113" s="47"/>
      <c r="E113" s="70"/>
      <c r="F113" s="47"/>
      <c r="G113" s="70"/>
      <c r="H113" s="53"/>
      <c r="I113" s="88"/>
    </row>
    <row r="114" spans="1:9" x14ac:dyDescent="0.2">
      <c r="A114" s="58"/>
      <c r="B114" s="47"/>
      <c r="C114" s="70"/>
      <c r="D114" s="47"/>
      <c r="E114" s="70"/>
      <c r="F114" s="47"/>
      <c r="G114" s="70"/>
      <c r="H114" s="53"/>
      <c r="I114" s="88"/>
    </row>
    <row r="115" spans="1:9" x14ac:dyDescent="0.2">
      <c r="A115" s="58"/>
      <c r="B115" s="47"/>
      <c r="C115" s="70"/>
      <c r="D115" s="47"/>
      <c r="E115" s="70"/>
      <c r="F115" s="47"/>
      <c r="G115" s="70"/>
      <c r="H115" s="53"/>
      <c r="I115" s="88"/>
    </row>
    <row r="116" spans="1:9" x14ac:dyDescent="0.2">
      <c r="A116" s="58"/>
      <c r="B116" s="47"/>
      <c r="C116" s="70"/>
      <c r="D116" s="47"/>
      <c r="E116" s="70"/>
      <c r="F116" s="47"/>
      <c r="G116" s="70"/>
      <c r="H116" s="53"/>
      <c r="I116" s="88"/>
    </row>
    <row r="117" spans="1:9" x14ac:dyDescent="0.2">
      <c r="A117" s="58"/>
      <c r="B117" s="47"/>
      <c r="C117" s="70"/>
      <c r="D117" s="47"/>
      <c r="E117" s="70"/>
      <c r="F117" s="47"/>
      <c r="G117" s="70"/>
      <c r="H117" s="53"/>
      <c r="I117" s="88"/>
    </row>
    <row r="118" spans="1:9" x14ac:dyDescent="0.2">
      <c r="A118" s="58"/>
      <c r="B118" s="47"/>
      <c r="C118" s="70"/>
      <c r="D118" s="47"/>
      <c r="E118" s="70"/>
      <c r="F118" s="47"/>
      <c r="G118" s="70"/>
      <c r="H118" s="53"/>
      <c r="I118" s="88"/>
    </row>
    <row r="119" spans="1:9" x14ac:dyDescent="0.2">
      <c r="A119" s="58"/>
      <c r="B119" s="47"/>
      <c r="C119" s="70"/>
      <c r="D119" s="47"/>
      <c r="E119" s="70"/>
      <c r="F119" s="47"/>
      <c r="G119" s="70"/>
      <c r="H119" s="53"/>
      <c r="I119" s="88"/>
    </row>
    <row r="120" spans="1:9" x14ac:dyDescent="0.2">
      <c r="A120" s="58"/>
      <c r="B120" s="47"/>
      <c r="C120" s="70"/>
      <c r="D120" s="47"/>
      <c r="E120" s="70"/>
      <c r="F120" s="47"/>
      <c r="G120" s="70"/>
      <c r="H120" s="53"/>
      <c r="I120" s="88"/>
    </row>
    <row r="121" spans="1:9" x14ac:dyDescent="0.2">
      <c r="A121" s="58"/>
      <c r="B121" s="47"/>
      <c r="C121" s="70"/>
      <c r="D121" s="47"/>
      <c r="E121" s="70"/>
      <c r="F121" s="47"/>
      <c r="G121" s="70"/>
      <c r="H121" s="53"/>
      <c r="I121" s="88"/>
    </row>
    <row r="122" spans="1:9" x14ac:dyDescent="0.2">
      <c r="A122" s="58"/>
      <c r="B122" s="47"/>
      <c r="C122" s="70"/>
      <c r="D122" s="47"/>
      <c r="E122" s="70"/>
      <c r="F122" s="47"/>
      <c r="G122" s="70"/>
      <c r="H122" s="53"/>
      <c r="I122" s="88"/>
    </row>
    <row r="123" spans="1:9" x14ac:dyDescent="0.2">
      <c r="A123" s="58"/>
      <c r="B123" s="47"/>
      <c r="C123" s="70"/>
      <c r="D123" s="47"/>
      <c r="E123" s="70"/>
      <c r="F123" s="47"/>
      <c r="G123" s="70"/>
      <c r="H123" s="53"/>
      <c r="I123" s="88"/>
    </row>
    <row r="124" spans="1:9" x14ac:dyDescent="0.2">
      <c r="A124" s="58"/>
      <c r="B124" s="47"/>
      <c r="C124" s="70"/>
      <c r="D124" s="47"/>
      <c r="E124" s="70"/>
      <c r="F124" s="47"/>
      <c r="G124" s="70"/>
      <c r="H124" s="53"/>
      <c r="I124" s="88"/>
    </row>
    <row r="125" spans="1:9" x14ac:dyDescent="0.2">
      <c r="A125" s="58"/>
      <c r="B125" s="47"/>
      <c r="C125" s="70"/>
      <c r="D125" s="47"/>
      <c r="E125" s="70"/>
      <c r="F125" s="47"/>
      <c r="G125" s="70"/>
      <c r="H125" s="53"/>
      <c r="I125" s="88"/>
    </row>
    <row r="126" spans="1:9" x14ac:dyDescent="0.2">
      <c r="A126" s="58"/>
      <c r="B126" s="47"/>
      <c r="C126" s="70"/>
      <c r="D126" s="47"/>
      <c r="E126" s="70"/>
      <c r="F126" s="47"/>
      <c r="G126" s="70"/>
      <c r="H126" s="53"/>
      <c r="I126" s="88"/>
    </row>
    <row r="127" spans="1:9" x14ac:dyDescent="0.2">
      <c r="A127" s="58"/>
      <c r="B127" s="47"/>
      <c r="C127" s="70"/>
      <c r="D127" s="47"/>
      <c r="E127" s="70"/>
      <c r="F127" s="47"/>
      <c r="G127" s="70"/>
      <c r="H127" s="53"/>
      <c r="I127" s="88"/>
    </row>
    <row r="128" spans="1:9" x14ac:dyDescent="0.2">
      <c r="A128" s="58"/>
      <c r="B128" s="47"/>
      <c r="C128" s="70"/>
      <c r="D128" s="47"/>
      <c r="E128" s="70"/>
      <c r="F128" s="47"/>
      <c r="G128" s="70"/>
      <c r="H128" s="53"/>
      <c r="I128" s="88"/>
    </row>
    <row r="129" spans="1:9" x14ac:dyDescent="0.2">
      <c r="A129" s="58"/>
      <c r="B129" s="47"/>
      <c r="C129" s="70"/>
      <c r="D129" s="47"/>
      <c r="E129" s="70"/>
      <c r="F129" s="47"/>
      <c r="G129" s="70"/>
      <c r="H129" s="53"/>
      <c r="I129" s="88"/>
    </row>
    <row r="130" spans="1:9" x14ac:dyDescent="0.2">
      <c r="A130" s="58"/>
      <c r="B130" s="47"/>
      <c r="C130" s="70"/>
      <c r="D130" s="47"/>
      <c r="E130" s="70"/>
      <c r="F130" s="47"/>
      <c r="G130" s="70"/>
      <c r="H130" s="53"/>
      <c r="I130" s="88"/>
    </row>
    <row r="131" spans="1:9" x14ac:dyDescent="0.2">
      <c r="A131" s="58"/>
      <c r="B131" s="47"/>
      <c r="C131" s="70"/>
      <c r="D131" s="47"/>
      <c r="E131" s="70"/>
      <c r="F131" s="47"/>
      <c r="G131" s="70"/>
      <c r="H131" s="53"/>
      <c r="I131" s="88"/>
    </row>
    <row r="132" spans="1:9" x14ac:dyDescent="0.2">
      <c r="A132" s="58"/>
      <c r="B132" s="47"/>
      <c r="C132" s="70"/>
      <c r="D132" s="47"/>
      <c r="E132" s="70"/>
      <c r="F132" s="47"/>
      <c r="G132" s="70"/>
      <c r="H132" s="53"/>
      <c r="I132" s="88"/>
    </row>
    <row r="133" spans="1:9" x14ac:dyDescent="0.2">
      <c r="A133" s="58"/>
      <c r="B133" s="47"/>
      <c r="C133" s="70"/>
      <c r="D133" s="47"/>
      <c r="E133" s="70"/>
      <c r="F133" s="47"/>
      <c r="G133" s="70"/>
      <c r="H133" s="53"/>
      <c r="I133" s="88"/>
    </row>
    <row r="134" spans="1:9" x14ac:dyDescent="0.2">
      <c r="A134" s="58"/>
      <c r="B134" s="47"/>
      <c r="C134" s="70"/>
      <c r="D134" s="47"/>
      <c r="E134" s="70"/>
      <c r="F134" s="47"/>
      <c r="G134" s="70"/>
      <c r="H134" s="53"/>
      <c r="I134" s="88"/>
    </row>
    <row r="135" spans="1:9" x14ac:dyDescent="0.2">
      <c r="A135" s="58"/>
      <c r="B135" s="47"/>
      <c r="C135" s="70"/>
      <c r="D135" s="47"/>
      <c r="E135" s="70"/>
      <c r="F135" s="47"/>
      <c r="G135" s="70"/>
      <c r="H135" s="53"/>
      <c r="I135" s="88"/>
    </row>
    <row r="136" spans="1:9" x14ac:dyDescent="0.2">
      <c r="A136" s="58"/>
      <c r="B136" s="47"/>
      <c r="C136" s="70"/>
      <c r="D136" s="47"/>
      <c r="E136" s="70"/>
      <c r="F136" s="47"/>
      <c r="G136" s="70"/>
      <c r="H136" s="53"/>
      <c r="I136" s="88"/>
    </row>
    <row r="137" spans="1:9" x14ac:dyDescent="0.2">
      <c r="A137" s="58"/>
      <c r="B137" s="47"/>
      <c r="C137" s="70"/>
      <c r="D137" s="47"/>
      <c r="E137" s="70"/>
      <c r="F137" s="47"/>
      <c r="G137" s="70"/>
      <c r="H137" s="53"/>
      <c r="I137" s="88"/>
    </row>
    <row r="138" spans="1:9" x14ac:dyDescent="0.2">
      <c r="A138" s="58"/>
      <c r="B138" s="47"/>
      <c r="C138" s="70"/>
      <c r="D138" s="47"/>
      <c r="E138" s="70"/>
      <c r="F138" s="47"/>
      <c r="G138" s="70"/>
      <c r="H138" s="53"/>
      <c r="I138" s="88"/>
    </row>
    <row r="139" spans="1:9" x14ac:dyDescent="0.2">
      <c r="A139" s="58"/>
      <c r="B139" s="47"/>
      <c r="C139" s="70"/>
      <c r="D139" s="47"/>
      <c r="E139" s="70"/>
      <c r="F139" s="47"/>
      <c r="G139" s="70"/>
      <c r="H139" s="53"/>
      <c r="I139" s="88"/>
    </row>
    <row r="140" spans="1:9" x14ac:dyDescent="0.2">
      <c r="A140" s="58"/>
      <c r="B140" s="47"/>
      <c r="C140" s="70"/>
      <c r="D140" s="47"/>
      <c r="E140" s="70"/>
      <c r="F140" s="47"/>
      <c r="G140" s="70"/>
      <c r="H140" s="53"/>
      <c r="I140" s="88"/>
    </row>
    <row r="141" spans="1:9" x14ac:dyDescent="0.2">
      <c r="A141" s="58"/>
      <c r="B141" s="47"/>
      <c r="C141" s="70"/>
      <c r="D141" s="47"/>
      <c r="E141" s="70"/>
      <c r="F141" s="47"/>
      <c r="G141" s="70"/>
      <c r="H141" s="53"/>
      <c r="I141" s="88"/>
    </row>
    <row r="142" spans="1:9" x14ac:dyDescent="0.2">
      <c r="A142" s="58"/>
      <c r="B142" s="47"/>
      <c r="C142" s="70"/>
      <c r="D142" s="47"/>
      <c r="E142" s="70"/>
      <c r="F142" s="47"/>
      <c r="G142" s="70"/>
      <c r="H142" s="53"/>
      <c r="I142" s="88"/>
    </row>
    <row r="143" spans="1:9" x14ac:dyDescent="0.2">
      <c r="A143" s="58"/>
      <c r="B143" s="47"/>
      <c r="C143" s="70"/>
      <c r="D143" s="47"/>
      <c r="E143" s="70"/>
      <c r="F143" s="47"/>
      <c r="G143" s="70"/>
      <c r="H143" s="53"/>
      <c r="I143" s="88"/>
    </row>
    <row r="144" spans="1:9" x14ac:dyDescent="0.2">
      <c r="A144" s="58"/>
      <c r="B144" s="47"/>
      <c r="C144" s="70"/>
      <c r="D144" s="47"/>
      <c r="E144" s="70"/>
      <c r="F144" s="47"/>
      <c r="G144" s="70"/>
      <c r="H144" s="53"/>
      <c r="I144" s="88"/>
    </row>
    <row r="145" spans="1:9" x14ac:dyDescent="0.2">
      <c r="A145" s="58"/>
      <c r="B145" s="47"/>
      <c r="C145" s="70"/>
      <c r="D145" s="47"/>
      <c r="E145" s="70"/>
      <c r="F145" s="47"/>
      <c r="G145" s="70"/>
      <c r="H145" s="53"/>
      <c r="I145" s="88"/>
    </row>
    <row r="146" spans="1:9" x14ac:dyDescent="0.2">
      <c r="A146" s="58"/>
      <c r="B146" s="47"/>
      <c r="C146" s="70"/>
      <c r="D146" s="47"/>
      <c r="E146" s="70"/>
      <c r="F146" s="47"/>
      <c r="G146" s="70"/>
      <c r="H146" s="53"/>
      <c r="I146" s="88"/>
    </row>
    <row r="147" spans="1:9" x14ac:dyDescent="0.2">
      <c r="A147" s="58"/>
      <c r="B147" s="47"/>
      <c r="C147" s="70"/>
      <c r="D147" s="47"/>
      <c r="E147" s="70"/>
      <c r="F147" s="47"/>
      <c r="G147" s="70"/>
      <c r="H147" s="53"/>
      <c r="I147" s="88"/>
    </row>
    <row r="148" spans="1:9" x14ac:dyDescent="0.2">
      <c r="A148" s="58"/>
      <c r="B148" s="47"/>
      <c r="C148" s="70"/>
      <c r="D148" s="47"/>
      <c r="E148" s="70"/>
      <c r="F148" s="47"/>
      <c r="G148" s="70"/>
      <c r="H148" s="53"/>
      <c r="I148" s="88"/>
    </row>
    <row r="149" spans="1:9" x14ac:dyDescent="0.2">
      <c r="A149" s="58"/>
      <c r="B149" s="47"/>
      <c r="C149" s="70"/>
      <c r="D149" s="47"/>
      <c r="E149" s="70"/>
      <c r="F149" s="47"/>
      <c r="G149" s="70"/>
      <c r="H149" s="53"/>
      <c r="I149" s="88"/>
    </row>
    <row r="150" spans="1:9" x14ac:dyDescent="0.2">
      <c r="A150" s="58"/>
      <c r="B150" s="47"/>
      <c r="C150" s="70"/>
      <c r="D150" s="47"/>
      <c r="E150" s="70"/>
      <c r="F150" s="47"/>
      <c r="G150" s="70"/>
      <c r="H150" s="53"/>
      <c r="I150" s="88"/>
    </row>
    <row r="151" spans="1:9" x14ac:dyDescent="0.2">
      <c r="A151" s="58"/>
      <c r="B151" s="47"/>
      <c r="C151" s="70"/>
      <c r="D151" s="47"/>
      <c r="E151" s="70"/>
      <c r="F151" s="47"/>
      <c r="G151" s="70"/>
      <c r="H151" s="53"/>
      <c r="I151" s="88"/>
    </row>
    <row r="152" spans="1:9" x14ac:dyDescent="0.2">
      <c r="A152" s="58"/>
      <c r="B152" s="47"/>
      <c r="C152" s="70"/>
      <c r="D152" s="47"/>
      <c r="E152" s="70"/>
      <c r="F152" s="47"/>
      <c r="G152" s="70"/>
      <c r="H152" s="53"/>
      <c r="I152" s="88"/>
    </row>
    <row r="153" spans="1:9" x14ac:dyDescent="0.2">
      <c r="A153" s="58"/>
      <c r="B153" s="47"/>
      <c r="C153" s="70"/>
      <c r="D153" s="47"/>
      <c r="E153" s="70"/>
      <c r="F153" s="47"/>
      <c r="G153" s="70"/>
      <c r="H153" s="53"/>
      <c r="I153" s="88"/>
    </row>
    <row r="154" spans="1:9" x14ac:dyDescent="0.2">
      <c r="A154" s="58"/>
      <c r="B154" s="47"/>
      <c r="C154" s="70"/>
      <c r="D154" s="47"/>
      <c r="E154" s="70"/>
      <c r="F154" s="47"/>
      <c r="G154" s="70"/>
      <c r="H154" s="53"/>
      <c r="I154" s="88"/>
    </row>
    <row r="155" spans="1:9" x14ac:dyDescent="0.2">
      <c r="A155" s="58"/>
      <c r="B155" s="47"/>
      <c r="C155" s="70"/>
      <c r="D155" s="47"/>
      <c r="E155" s="70"/>
      <c r="F155" s="47"/>
      <c r="G155" s="70"/>
      <c r="H155" s="53"/>
      <c r="I155" s="88"/>
    </row>
    <row r="156" spans="1:9" x14ac:dyDescent="0.2">
      <c r="A156" s="58"/>
      <c r="B156" s="47"/>
      <c r="C156" s="70"/>
      <c r="D156" s="47"/>
      <c r="E156" s="70"/>
      <c r="F156" s="47"/>
      <c r="G156" s="70"/>
      <c r="H156" s="53"/>
      <c r="I156" s="88"/>
    </row>
    <row r="157" spans="1:9" x14ac:dyDescent="0.2">
      <c r="A157" s="58"/>
      <c r="B157" s="47"/>
      <c r="C157" s="70"/>
      <c r="D157" s="47"/>
      <c r="E157" s="70"/>
      <c r="F157" s="47"/>
      <c r="G157" s="70"/>
      <c r="H157" s="53"/>
      <c r="I157" s="88"/>
    </row>
    <row r="158" spans="1:9" x14ac:dyDescent="0.2">
      <c r="A158" s="58"/>
      <c r="B158" s="47"/>
      <c r="C158" s="70"/>
      <c r="D158" s="47"/>
      <c r="E158" s="70"/>
      <c r="F158" s="47"/>
      <c r="G158" s="70"/>
      <c r="H158" s="53"/>
      <c r="I158" s="88"/>
    </row>
    <row r="159" spans="1:9" x14ac:dyDescent="0.2">
      <c r="A159" s="58"/>
      <c r="B159" s="47"/>
      <c r="C159" s="70"/>
      <c r="D159" s="47"/>
      <c r="E159" s="70"/>
      <c r="F159" s="47"/>
      <c r="G159" s="70"/>
      <c r="H159" s="53"/>
      <c r="I159" s="88"/>
    </row>
    <row r="160" spans="1:9" x14ac:dyDescent="0.2">
      <c r="A160" s="58"/>
      <c r="B160" s="47"/>
      <c r="C160" s="70"/>
      <c r="D160" s="47"/>
      <c r="E160" s="70"/>
      <c r="F160" s="47"/>
      <c r="G160" s="70"/>
      <c r="H160" s="53"/>
      <c r="I160" s="88"/>
    </row>
    <row r="161" spans="1:9" x14ac:dyDescent="0.2">
      <c r="A161" s="58"/>
      <c r="B161" s="47"/>
      <c r="C161" s="70"/>
      <c r="D161" s="47"/>
      <c r="E161" s="70"/>
      <c r="F161" s="47"/>
      <c r="G161" s="70"/>
      <c r="H161" s="53"/>
      <c r="I161" s="88"/>
    </row>
    <row r="162" spans="1:9" x14ac:dyDescent="0.2">
      <c r="A162" s="58"/>
      <c r="B162" s="47"/>
      <c r="C162" s="70"/>
      <c r="D162" s="47"/>
      <c r="E162" s="70"/>
      <c r="F162" s="47"/>
      <c r="G162" s="70"/>
      <c r="H162" s="53"/>
      <c r="I162" s="88"/>
    </row>
    <row r="163" spans="1:9" x14ac:dyDescent="0.2">
      <c r="A163" s="58"/>
      <c r="B163" s="47"/>
      <c r="C163" s="70"/>
      <c r="D163" s="47"/>
      <c r="E163" s="70"/>
      <c r="F163" s="47"/>
      <c r="G163" s="70"/>
      <c r="H163" s="53"/>
      <c r="I163" s="88"/>
    </row>
    <row r="164" spans="1:9" x14ac:dyDescent="0.2">
      <c r="A164" s="58"/>
      <c r="B164" s="47"/>
      <c r="C164" s="70"/>
      <c r="D164" s="47"/>
      <c r="E164" s="70"/>
      <c r="F164" s="47"/>
      <c r="G164" s="70"/>
      <c r="H164" s="53"/>
      <c r="I164" s="88"/>
    </row>
    <row r="165" spans="1:9" x14ac:dyDescent="0.2">
      <c r="A165" s="58"/>
      <c r="B165" s="47"/>
      <c r="C165" s="70"/>
      <c r="D165" s="47"/>
      <c r="E165" s="70"/>
      <c r="F165" s="47"/>
      <c r="G165" s="70"/>
      <c r="H165" s="53"/>
      <c r="I165" s="88"/>
    </row>
    <row r="166" spans="1:9" x14ac:dyDescent="0.2">
      <c r="A166" s="58"/>
      <c r="B166" s="47"/>
      <c r="C166" s="70"/>
      <c r="D166" s="47"/>
      <c r="E166" s="70"/>
      <c r="F166" s="47"/>
      <c r="G166" s="70"/>
      <c r="H166" s="53"/>
      <c r="I166" s="88"/>
    </row>
    <row r="167" spans="1:9" x14ac:dyDescent="0.2">
      <c r="A167" s="58"/>
      <c r="B167" s="47"/>
      <c r="C167" s="70"/>
      <c r="D167" s="47"/>
      <c r="E167" s="70"/>
      <c r="F167" s="47"/>
      <c r="G167" s="70"/>
      <c r="H167" s="53"/>
      <c r="I167" s="88"/>
    </row>
    <row r="168" spans="1:9" x14ac:dyDescent="0.2">
      <c r="A168" s="58"/>
      <c r="B168" s="47"/>
      <c r="C168" s="70"/>
      <c r="D168" s="47"/>
      <c r="E168" s="70"/>
      <c r="F168" s="47"/>
      <c r="G168" s="70"/>
      <c r="H168" s="53"/>
      <c r="I168" s="88"/>
    </row>
    <row r="169" spans="1:9" x14ac:dyDescent="0.2">
      <c r="A169" s="58"/>
      <c r="B169" s="47"/>
      <c r="C169" s="70"/>
      <c r="D169" s="47"/>
      <c r="E169" s="70"/>
      <c r="F169" s="47"/>
      <c r="G169" s="70"/>
      <c r="H169" s="53"/>
      <c r="I169" s="88"/>
    </row>
    <row r="170" spans="1:9" x14ac:dyDescent="0.2">
      <c r="A170" s="58"/>
      <c r="B170" s="47"/>
      <c r="C170" s="70"/>
      <c r="D170" s="47"/>
      <c r="E170" s="70"/>
      <c r="F170" s="47"/>
      <c r="G170" s="70"/>
      <c r="H170" s="53"/>
      <c r="I170" s="88"/>
    </row>
    <row r="171" spans="1:9" x14ac:dyDescent="0.2">
      <c r="A171" s="58"/>
      <c r="B171" s="47"/>
      <c r="C171" s="70"/>
      <c r="D171" s="47"/>
      <c r="E171" s="70"/>
      <c r="F171" s="47"/>
      <c r="G171" s="70"/>
      <c r="H171" s="53"/>
      <c r="I171" s="88"/>
    </row>
    <row r="172" spans="1:9" x14ac:dyDescent="0.2">
      <c r="A172" s="58"/>
      <c r="B172" s="47"/>
      <c r="C172" s="70"/>
      <c r="D172" s="47"/>
      <c r="E172" s="70"/>
      <c r="F172" s="47"/>
      <c r="G172" s="70"/>
      <c r="H172" s="53"/>
      <c r="I172" s="88"/>
    </row>
    <row r="173" spans="1:9" x14ac:dyDescent="0.2">
      <c r="A173" s="58"/>
      <c r="B173" s="47"/>
      <c r="C173" s="70"/>
      <c r="D173" s="47"/>
      <c r="E173" s="70"/>
      <c r="F173" s="47"/>
      <c r="G173" s="70"/>
      <c r="H173" s="53"/>
      <c r="I173" s="88"/>
    </row>
    <row r="174" spans="1:9" x14ac:dyDescent="0.2">
      <c r="A174" s="58"/>
      <c r="B174" s="47"/>
      <c r="C174" s="70"/>
      <c r="D174" s="47"/>
      <c r="E174" s="70"/>
      <c r="F174" s="47"/>
      <c r="G174" s="70"/>
      <c r="H174" s="53"/>
      <c r="I174" s="88"/>
    </row>
    <row r="175" spans="1:9" x14ac:dyDescent="0.2">
      <c r="A175" s="58"/>
      <c r="B175" s="47"/>
      <c r="C175" s="70"/>
      <c r="D175" s="47"/>
      <c r="E175" s="70"/>
      <c r="F175" s="47"/>
      <c r="G175" s="70"/>
      <c r="H175" s="53"/>
      <c r="I175" s="88"/>
    </row>
    <row r="176" spans="1:9" x14ac:dyDescent="0.2">
      <c r="A176" s="58"/>
      <c r="B176" s="47"/>
      <c r="C176" s="70"/>
      <c r="D176" s="47"/>
      <c r="E176" s="70"/>
      <c r="F176" s="47"/>
      <c r="G176" s="70"/>
      <c r="H176" s="53"/>
      <c r="I176" s="88"/>
    </row>
    <row r="177" spans="1:9" x14ac:dyDescent="0.2">
      <c r="A177" s="58"/>
      <c r="B177" s="47"/>
      <c r="C177" s="70"/>
      <c r="D177" s="47"/>
      <c r="E177" s="70"/>
      <c r="F177" s="47"/>
      <c r="G177" s="70"/>
      <c r="H177" s="53"/>
      <c r="I177" s="88"/>
    </row>
    <row r="178" spans="1:9" x14ac:dyDescent="0.2">
      <c r="A178" s="58"/>
      <c r="B178" s="47"/>
      <c r="C178" s="70"/>
      <c r="D178" s="47"/>
      <c r="E178" s="70"/>
      <c r="F178" s="47"/>
      <c r="G178" s="70"/>
      <c r="H178" s="53"/>
      <c r="I178" s="88"/>
    </row>
    <row r="179" spans="1:9" x14ac:dyDescent="0.2">
      <c r="A179" s="58"/>
      <c r="B179" s="47"/>
      <c r="C179" s="70"/>
      <c r="D179" s="47"/>
      <c r="E179" s="70"/>
      <c r="F179" s="47"/>
      <c r="G179" s="70"/>
      <c r="H179" s="53"/>
      <c r="I179" s="88"/>
    </row>
    <row r="180" spans="1:9" x14ac:dyDescent="0.2">
      <c r="A180" s="58"/>
      <c r="B180" s="47"/>
      <c r="C180" s="70"/>
      <c r="D180" s="47"/>
      <c r="E180" s="70"/>
      <c r="F180" s="47"/>
      <c r="G180" s="70"/>
      <c r="H180" s="53"/>
      <c r="I180" s="88"/>
    </row>
    <row r="181" spans="1:9" x14ac:dyDescent="0.2">
      <c r="A181" s="58"/>
      <c r="B181" s="47"/>
      <c r="C181" s="70"/>
      <c r="D181" s="47"/>
      <c r="E181" s="70"/>
      <c r="F181" s="47"/>
      <c r="G181" s="70"/>
      <c r="H181" s="53"/>
      <c r="I181" s="88"/>
    </row>
    <row r="182" spans="1:9" x14ac:dyDescent="0.2">
      <c r="A182" s="58"/>
      <c r="B182" s="47"/>
      <c r="C182" s="70"/>
      <c r="D182" s="47"/>
      <c r="E182" s="70"/>
      <c r="F182" s="47"/>
      <c r="G182" s="70"/>
      <c r="H182" s="53"/>
      <c r="I182" s="88"/>
    </row>
    <row r="183" spans="1:9" x14ac:dyDescent="0.2">
      <c r="A183" s="58"/>
      <c r="B183" s="47"/>
      <c r="C183" s="70"/>
      <c r="D183" s="47"/>
      <c r="E183" s="70"/>
      <c r="F183" s="47"/>
      <c r="G183" s="70"/>
      <c r="H183" s="53"/>
      <c r="I183" s="88"/>
    </row>
    <row r="184" spans="1:9" x14ac:dyDescent="0.2">
      <c r="A184" s="58"/>
      <c r="B184" s="47"/>
      <c r="C184" s="70"/>
      <c r="D184" s="47"/>
      <c r="E184" s="70"/>
      <c r="F184" s="47"/>
      <c r="G184" s="70"/>
      <c r="H184" s="53"/>
      <c r="I184" s="88"/>
    </row>
    <row r="185" spans="1:9" x14ac:dyDescent="0.2">
      <c r="A185" s="58"/>
      <c r="B185" s="47"/>
      <c r="C185" s="70"/>
      <c r="D185" s="47"/>
      <c r="E185" s="70"/>
      <c r="F185" s="47"/>
      <c r="G185" s="70"/>
      <c r="H185" s="53"/>
      <c r="I185" s="88"/>
    </row>
    <row r="186" spans="1:9" x14ac:dyDescent="0.2">
      <c r="A186" s="58"/>
      <c r="B186" s="47"/>
      <c r="C186" s="70"/>
      <c r="D186" s="47"/>
      <c r="E186" s="70"/>
      <c r="F186" s="47"/>
      <c r="G186" s="70"/>
      <c r="H186" s="53"/>
      <c r="I186" s="88"/>
    </row>
    <row r="187" spans="1:9" x14ac:dyDescent="0.2">
      <c r="A187" s="58"/>
      <c r="B187" s="47"/>
      <c r="C187" s="70"/>
      <c r="D187" s="47"/>
      <c r="E187" s="70"/>
      <c r="F187" s="47"/>
      <c r="G187" s="70"/>
      <c r="H187" s="53"/>
      <c r="I187" s="88"/>
    </row>
    <row r="188" spans="1:9" x14ac:dyDescent="0.2">
      <c r="A188" s="58"/>
      <c r="B188" s="47"/>
      <c r="C188" s="70"/>
      <c r="D188" s="47"/>
      <c r="E188" s="70"/>
      <c r="F188" s="47"/>
      <c r="G188" s="70"/>
      <c r="H188" s="53"/>
      <c r="I188" s="88"/>
    </row>
    <row r="189" spans="1:9" x14ac:dyDescent="0.2">
      <c r="A189" s="58"/>
      <c r="B189" s="47"/>
      <c r="C189" s="70"/>
      <c r="D189" s="47"/>
      <c r="E189" s="70"/>
      <c r="F189" s="47"/>
      <c r="G189" s="70"/>
      <c r="H189" s="53"/>
      <c r="I189" s="88"/>
    </row>
    <row r="190" spans="1:9" x14ac:dyDescent="0.2">
      <c r="A190" s="58"/>
      <c r="B190" s="47"/>
      <c r="C190" s="70"/>
      <c r="D190" s="47"/>
      <c r="E190" s="70"/>
      <c r="F190" s="47"/>
      <c r="G190" s="70"/>
      <c r="H190" s="53"/>
      <c r="I190" s="88"/>
    </row>
    <row r="191" spans="1:9" x14ac:dyDescent="0.2">
      <c r="A191" s="58"/>
      <c r="B191" s="47"/>
      <c r="C191" s="70"/>
      <c r="D191" s="47"/>
      <c r="E191" s="70"/>
      <c r="F191" s="47"/>
      <c r="G191" s="70"/>
      <c r="H191" s="53"/>
      <c r="I191" s="88"/>
    </row>
    <row r="192" spans="1:9" x14ac:dyDescent="0.2">
      <c r="A192" s="58"/>
      <c r="B192" s="47"/>
      <c r="C192" s="70"/>
      <c r="D192" s="47"/>
      <c r="E192" s="70"/>
      <c r="F192" s="47"/>
      <c r="G192" s="70"/>
      <c r="H192" s="53"/>
      <c r="I192" s="88"/>
    </row>
    <row r="193" spans="1:9" x14ac:dyDescent="0.2">
      <c r="A193" s="58"/>
      <c r="B193" s="47"/>
      <c r="C193" s="70"/>
      <c r="D193" s="47"/>
      <c r="E193" s="70"/>
      <c r="F193" s="47"/>
      <c r="G193" s="70"/>
      <c r="H193" s="53"/>
      <c r="I193" s="88"/>
    </row>
    <row r="194" spans="1:9" x14ac:dyDescent="0.2">
      <c r="A194" s="58"/>
      <c r="B194" s="47"/>
      <c r="C194" s="70"/>
      <c r="D194" s="47"/>
      <c r="E194" s="70"/>
      <c r="F194" s="47"/>
      <c r="G194" s="70"/>
      <c r="H194" s="53"/>
      <c r="I194" s="88"/>
    </row>
    <row r="195" spans="1:9" x14ac:dyDescent="0.2">
      <c r="A195" s="58"/>
      <c r="B195" s="47"/>
      <c r="C195" s="70"/>
      <c r="D195" s="47"/>
      <c r="E195" s="70"/>
      <c r="F195" s="47"/>
      <c r="G195" s="70"/>
      <c r="H195" s="53"/>
      <c r="I195" s="88"/>
    </row>
    <row r="196" spans="1:9" x14ac:dyDescent="0.2">
      <c r="A196" s="58"/>
      <c r="B196" s="47"/>
      <c r="C196" s="70"/>
      <c r="D196" s="47"/>
      <c r="E196" s="70"/>
      <c r="F196" s="47"/>
      <c r="G196" s="70"/>
      <c r="H196" s="53"/>
      <c r="I196" s="88"/>
    </row>
    <row r="197" spans="1:9" x14ac:dyDescent="0.2">
      <c r="A197" s="58"/>
      <c r="B197" s="47"/>
      <c r="C197" s="70"/>
      <c r="D197" s="47"/>
      <c r="E197" s="70"/>
      <c r="F197" s="47"/>
      <c r="G197" s="70"/>
      <c r="H197" s="53"/>
      <c r="I197" s="88"/>
    </row>
    <row r="198" spans="1:9" x14ac:dyDescent="0.2">
      <c r="A198" s="58"/>
      <c r="B198" s="47"/>
      <c r="C198" s="70"/>
      <c r="D198" s="47"/>
      <c r="E198" s="70"/>
      <c r="F198" s="47"/>
      <c r="G198" s="70"/>
      <c r="H198" s="53"/>
      <c r="I198" s="88"/>
    </row>
    <row r="199" spans="1:9" x14ac:dyDescent="0.2">
      <c r="A199" s="58"/>
      <c r="B199" s="47"/>
      <c r="C199" s="70"/>
      <c r="D199" s="47"/>
      <c r="E199" s="70"/>
      <c r="F199" s="47"/>
      <c r="G199" s="70"/>
      <c r="H199" s="53"/>
      <c r="I199" s="88"/>
    </row>
    <row r="200" spans="1:9" x14ac:dyDescent="0.2">
      <c r="A200" s="58"/>
      <c r="B200" s="47"/>
      <c r="C200" s="70"/>
      <c r="D200" s="47"/>
      <c r="E200" s="70"/>
      <c r="F200" s="47"/>
      <c r="G200" s="70"/>
      <c r="H200" s="53"/>
      <c r="I200" s="88"/>
    </row>
    <row r="201" spans="1:9" x14ac:dyDescent="0.2">
      <c r="A201" s="58"/>
      <c r="B201" s="47"/>
      <c r="C201" s="70"/>
      <c r="D201" s="47"/>
      <c r="E201" s="70"/>
      <c r="F201" s="47"/>
      <c r="G201" s="70"/>
      <c r="H201" s="53"/>
      <c r="I201" s="88"/>
    </row>
    <row r="202" spans="1:9" x14ac:dyDescent="0.2">
      <c r="A202" s="58"/>
      <c r="B202" s="47"/>
      <c r="C202" s="70"/>
      <c r="D202" s="47"/>
      <c r="E202" s="70"/>
      <c r="F202" s="47"/>
      <c r="G202" s="70"/>
      <c r="H202" s="53"/>
      <c r="I202" s="88"/>
    </row>
    <row r="203" spans="1:9" x14ac:dyDescent="0.2">
      <c r="A203" s="58"/>
      <c r="B203" s="47"/>
      <c r="C203" s="70"/>
      <c r="D203" s="47"/>
      <c r="E203" s="70"/>
      <c r="F203" s="47"/>
      <c r="G203" s="70"/>
      <c r="H203" s="53"/>
      <c r="I203" s="88"/>
    </row>
    <row r="204" spans="1:9" x14ac:dyDescent="0.2">
      <c r="A204" s="58"/>
      <c r="B204" s="47"/>
      <c r="C204" s="70"/>
      <c r="D204" s="47"/>
      <c r="E204" s="70"/>
      <c r="F204" s="47"/>
      <c r="G204" s="70"/>
      <c r="H204" s="53"/>
      <c r="I204" s="88"/>
    </row>
    <row r="205" spans="1:9" x14ac:dyDescent="0.2">
      <c r="A205" s="58"/>
      <c r="B205" s="47"/>
      <c r="C205" s="70"/>
      <c r="D205" s="47"/>
      <c r="E205" s="70"/>
      <c r="F205" s="47"/>
      <c r="G205" s="70"/>
      <c r="H205" s="53"/>
      <c r="I205" s="88"/>
    </row>
    <row r="206" spans="1:9" x14ac:dyDescent="0.2">
      <c r="A206" s="58"/>
      <c r="B206" s="47"/>
      <c r="C206" s="70"/>
      <c r="D206" s="47"/>
      <c r="E206" s="70"/>
      <c r="F206" s="47"/>
      <c r="G206" s="70"/>
      <c r="H206" s="53"/>
      <c r="I206" s="88"/>
    </row>
    <row r="207" spans="1:9" x14ac:dyDescent="0.2">
      <c r="A207" s="58"/>
      <c r="B207" s="47"/>
      <c r="C207" s="70"/>
      <c r="D207" s="47"/>
      <c r="E207" s="70"/>
      <c r="F207" s="47"/>
      <c r="G207" s="70"/>
      <c r="H207" s="53"/>
      <c r="I207" s="88"/>
    </row>
    <row r="208" spans="1:9" x14ac:dyDescent="0.2">
      <c r="A208" s="58"/>
      <c r="B208" s="47"/>
      <c r="C208" s="70"/>
      <c r="D208" s="47"/>
      <c r="E208" s="70"/>
      <c r="F208" s="47"/>
      <c r="G208" s="70"/>
      <c r="H208" s="53"/>
      <c r="I208" s="88"/>
    </row>
    <row r="209" spans="1:9" x14ac:dyDescent="0.2">
      <c r="A209" s="58"/>
      <c r="B209" s="47"/>
      <c r="C209" s="70"/>
      <c r="D209" s="47"/>
      <c r="E209" s="70"/>
      <c r="F209" s="47"/>
      <c r="G209" s="70"/>
      <c r="H209" s="53"/>
      <c r="I209" s="88"/>
    </row>
    <row r="210" spans="1:9" x14ac:dyDescent="0.2">
      <c r="A210" s="58"/>
      <c r="B210" s="47"/>
      <c r="C210" s="70"/>
      <c r="D210" s="47"/>
      <c r="E210" s="70"/>
      <c r="F210" s="47"/>
      <c r="G210" s="70"/>
      <c r="H210" s="53"/>
      <c r="I210" s="88"/>
    </row>
    <row r="211" spans="1:9" x14ac:dyDescent="0.2">
      <c r="A211" s="58"/>
      <c r="B211" s="47"/>
      <c r="C211" s="70"/>
      <c r="D211" s="47"/>
      <c r="E211" s="70"/>
      <c r="F211" s="47"/>
      <c r="G211" s="70"/>
      <c r="H211" s="53"/>
      <c r="I211" s="88"/>
    </row>
    <row r="212" spans="1:9" x14ac:dyDescent="0.2">
      <c r="A212" s="58"/>
      <c r="B212" s="47"/>
      <c r="C212" s="70"/>
      <c r="D212" s="47"/>
      <c r="E212" s="70"/>
      <c r="F212" s="47"/>
      <c r="G212" s="70"/>
      <c r="H212" s="53"/>
      <c r="I212" s="88"/>
    </row>
    <row r="213" spans="1:9" x14ac:dyDescent="0.2">
      <c r="A213" s="58"/>
      <c r="B213" s="47"/>
      <c r="C213" s="70"/>
      <c r="D213" s="47"/>
      <c r="E213" s="70"/>
      <c r="F213" s="47"/>
      <c r="G213" s="70"/>
      <c r="H213" s="53"/>
      <c r="I213" s="88"/>
    </row>
    <row r="214" spans="1:9" x14ac:dyDescent="0.2">
      <c r="A214" s="58"/>
      <c r="B214" s="47"/>
      <c r="C214" s="70"/>
      <c r="D214" s="47"/>
      <c r="E214" s="70"/>
      <c r="F214" s="47"/>
      <c r="G214" s="70"/>
      <c r="H214" s="53"/>
      <c r="I214" s="88"/>
    </row>
    <row r="215" spans="1:9" x14ac:dyDescent="0.2">
      <c r="A215" s="58"/>
      <c r="B215" s="47"/>
      <c r="C215" s="70"/>
      <c r="D215" s="47"/>
      <c r="E215" s="70"/>
      <c r="F215" s="47"/>
      <c r="G215" s="70"/>
      <c r="H215" s="53"/>
      <c r="I215" s="88"/>
    </row>
    <row r="216" spans="1:9" x14ac:dyDescent="0.2">
      <c r="A216" s="58"/>
      <c r="B216" s="47"/>
      <c r="C216" s="70"/>
      <c r="D216" s="47"/>
      <c r="E216" s="70"/>
      <c r="F216" s="47"/>
      <c r="G216" s="70"/>
      <c r="H216" s="53"/>
      <c r="I216" s="88"/>
    </row>
    <row r="217" spans="1:9" x14ac:dyDescent="0.2">
      <c r="A217" s="58"/>
      <c r="B217" s="47"/>
      <c r="C217" s="70"/>
      <c r="D217" s="47"/>
      <c r="E217" s="70"/>
      <c r="F217" s="47"/>
      <c r="G217" s="70"/>
      <c r="H217" s="53"/>
      <c r="I217" s="88"/>
    </row>
    <row r="218" spans="1:9" x14ac:dyDescent="0.2">
      <c r="A218" s="58"/>
      <c r="B218" s="47"/>
      <c r="C218" s="70"/>
      <c r="D218" s="47"/>
      <c r="E218" s="70"/>
      <c r="F218" s="47"/>
      <c r="G218" s="70"/>
      <c r="H218" s="53"/>
      <c r="I218" s="88"/>
    </row>
    <row r="219" spans="1:9" x14ac:dyDescent="0.2">
      <c r="A219" s="58"/>
      <c r="B219" s="47"/>
      <c r="C219" s="70"/>
      <c r="D219" s="47"/>
      <c r="E219" s="70"/>
      <c r="F219" s="47"/>
      <c r="G219" s="70"/>
      <c r="H219" s="53"/>
      <c r="I219" s="88"/>
    </row>
    <row r="220" spans="1:9" x14ac:dyDescent="0.2">
      <c r="A220" s="58"/>
      <c r="B220" s="47"/>
      <c r="C220" s="70"/>
      <c r="D220" s="47"/>
      <c r="E220" s="70"/>
      <c r="F220" s="47"/>
      <c r="G220" s="70"/>
      <c r="H220" s="53"/>
      <c r="I220" s="88"/>
    </row>
    <row r="221" spans="1:9" x14ac:dyDescent="0.2">
      <c r="A221" s="58"/>
      <c r="B221" s="47"/>
      <c r="C221" s="70"/>
      <c r="D221" s="47"/>
      <c r="E221" s="70"/>
      <c r="F221" s="47"/>
      <c r="G221" s="70"/>
      <c r="H221" s="53"/>
      <c r="I221" s="88"/>
    </row>
    <row r="222" spans="1:9" x14ac:dyDescent="0.2">
      <c r="A222" s="58"/>
      <c r="B222" s="47"/>
      <c r="C222" s="70"/>
      <c r="D222" s="47"/>
      <c r="E222" s="70"/>
      <c r="F222" s="47"/>
      <c r="G222" s="70"/>
      <c r="H222" s="53"/>
      <c r="I222" s="88"/>
    </row>
    <row r="223" spans="1:9" x14ac:dyDescent="0.2">
      <c r="A223" s="58"/>
      <c r="B223" s="47"/>
      <c r="C223" s="70"/>
      <c r="D223" s="47"/>
      <c r="E223" s="70"/>
      <c r="F223" s="47"/>
      <c r="G223" s="70"/>
      <c r="H223" s="53"/>
      <c r="I223" s="88"/>
    </row>
    <row r="224" spans="1:9" x14ac:dyDescent="0.2">
      <c r="A224" s="58"/>
      <c r="B224" s="47"/>
      <c r="C224" s="70"/>
      <c r="D224" s="47"/>
      <c r="E224" s="70"/>
      <c r="F224" s="47"/>
      <c r="G224" s="70"/>
      <c r="H224" s="53"/>
      <c r="I224" s="88"/>
    </row>
    <row r="225" spans="1:9" x14ac:dyDescent="0.2">
      <c r="A225" s="58"/>
      <c r="B225" s="47"/>
      <c r="C225" s="70"/>
      <c r="D225" s="47"/>
      <c r="E225" s="70"/>
      <c r="F225" s="47"/>
      <c r="G225" s="70"/>
      <c r="H225" s="53"/>
      <c r="I225" s="88"/>
    </row>
    <row r="226" spans="1:9" x14ac:dyDescent="0.2">
      <c r="A226" s="58"/>
      <c r="B226" s="47"/>
      <c r="C226" s="70"/>
      <c r="D226" s="47"/>
      <c r="E226" s="70"/>
      <c r="F226" s="47"/>
      <c r="G226" s="70"/>
      <c r="H226" s="53"/>
      <c r="I226" s="88"/>
    </row>
    <row r="227" spans="1:9" x14ac:dyDescent="0.2">
      <c r="A227" s="58"/>
      <c r="B227" s="47"/>
      <c r="C227" s="70"/>
      <c r="D227" s="47"/>
      <c r="E227" s="70"/>
      <c r="F227" s="47"/>
      <c r="G227" s="70"/>
      <c r="H227" s="53"/>
      <c r="I227" s="88"/>
    </row>
    <row r="228" spans="1:9" x14ac:dyDescent="0.2">
      <c r="A228" s="58"/>
      <c r="B228" s="47"/>
      <c r="C228" s="70"/>
      <c r="D228" s="47"/>
      <c r="E228" s="70"/>
      <c r="F228" s="47"/>
      <c r="G228" s="70"/>
      <c r="H228" s="53"/>
      <c r="I228" s="88"/>
    </row>
    <row r="229" spans="1:9" x14ac:dyDescent="0.2">
      <c r="A229" s="58"/>
      <c r="B229" s="47"/>
      <c r="C229" s="70"/>
      <c r="D229" s="47"/>
      <c r="E229" s="70"/>
      <c r="F229" s="47"/>
      <c r="G229" s="70"/>
      <c r="H229" s="53"/>
      <c r="I229" s="88"/>
    </row>
    <row r="230" spans="1:9" x14ac:dyDescent="0.2">
      <c r="A230" s="58"/>
      <c r="B230" s="47"/>
      <c r="C230" s="70"/>
      <c r="D230" s="47"/>
      <c r="E230" s="70"/>
      <c r="F230" s="47"/>
      <c r="G230" s="70"/>
      <c r="H230" s="53"/>
      <c r="I230" s="88"/>
    </row>
    <row r="231" spans="1:9" x14ac:dyDescent="0.2">
      <c r="A231" s="58"/>
      <c r="B231" s="47"/>
      <c r="C231" s="70"/>
      <c r="D231" s="47"/>
      <c r="E231" s="70"/>
      <c r="F231" s="47"/>
      <c r="G231" s="70"/>
      <c r="H231" s="53"/>
      <c r="I231" s="88"/>
    </row>
    <row r="232" spans="1:9" x14ac:dyDescent="0.2">
      <c r="A232" s="58"/>
      <c r="B232" s="47"/>
      <c r="C232" s="70"/>
      <c r="D232" s="47"/>
      <c r="E232" s="70"/>
      <c r="F232" s="47"/>
      <c r="G232" s="70"/>
      <c r="H232" s="53"/>
      <c r="I232" s="88"/>
    </row>
    <row r="233" spans="1:9" x14ac:dyDescent="0.2">
      <c r="A233" s="58"/>
      <c r="B233" s="47"/>
      <c r="C233" s="70"/>
      <c r="D233" s="47"/>
      <c r="E233" s="70"/>
      <c r="F233" s="47"/>
      <c r="G233" s="70"/>
      <c r="H233" s="53"/>
      <c r="I233" s="88"/>
    </row>
    <row r="234" spans="1:9" x14ac:dyDescent="0.2">
      <c r="A234" s="58"/>
      <c r="B234" s="47"/>
      <c r="C234" s="70"/>
      <c r="D234" s="47"/>
      <c r="E234" s="70"/>
      <c r="F234" s="47"/>
      <c r="G234" s="70"/>
      <c r="H234" s="53"/>
      <c r="I234" s="88"/>
    </row>
    <row r="235" spans="1:9" x14ac:dyDescent="0.2">
      <c r="A235" s="58"/>
      <c r="B235" s="47"/>
      <c r="C235" s="70"/>
      <c r="D235" s="47"/>
      <c r="E235" s="70"/>
      <c r="F235" s="47"/>
      <c r="G235" s="70"/>
      <c r="H235" s="53"/>
      <c r="I235" s="88"/>
    </row>
    <row r="236" spans="1:9" x14ac:dyDescent="0.2">
      <c r="A236" s="58"/>
      <c r="B236" s="47"/>
      <c r="C236" s="70"/>
      <c r="D236" s="47"/>
      <c r="E236" s="70"/>
      <c r="F236" s="47"/>
      <c r="G236" s="70"/>
      <c r="H236" s="53"/>
      <c r="I236" s="88"/>
    </row>
    <row r="237" spans="1:9" x14ac:dyDescent="0.2">
      <c r="A237" s="58"/>
      <c r="B237" s="47"/>
      <c r="C237" s="70"/>
      <c r="D237" s="47"/>
      <c r="E237" s="70"/>
      <c r="F237" s="47"/>
      <c r="G237" s="70"/>
      <c r="H237" s="53"/>
      <c r="I237" s="88"/>
    </row>
    <row r="238" spans="1:9" x14ac:dyDescent="0.2">
      <c r="A238" s="58"/>
      <c r="B238" s="47"/>
      <c r="C238" s="70"/>
      <c r="D238" s="47"/>
      <c r="E238" s="70"/>
      <c r="F238" s="47"/>
      <c r="G238" s="70"/>
      <c r="H238" s="53"/>
      <c r="I238" s="88"/>
    </row>
    <row r="239" spans="1:9" x14ac:dyDescent="0.2">
      <c r="A239" s="58"/>
      <c r="B239" s="47"/>
      <c r="C239" s="70"/>
      <c r="D239" s="47"/>
      <c r="E239" s="70"/>
      <c r="F239" s="47"/>
      <c r="G239" s="70"/>
      <c r="H239" s="53"/>
      <c r="I239" s="88"/>
    </row>
    <row r="240" spans="1:9" x14ac:dyDescent="0.2">
      <c r="A240" s="58"/>
      <c r="B240" s="47"/>
      <c r="C240" s="70"/>
      <c r="D240" s="47"/>
      <c r="E240" s="70"/>
      <c r="F240" s="47"/>
      <c r="G240" s="70"/>
      <c r="H240" s="53"/>
      <c r="I240" s="88"/>
    </row>
    <row r="241" spans="1:9" x14ac:dyDescent="0.2">
      <c r="A241" s="58"/>
      <c r="B241" s="47"/>
      <c r="C241" s="70"/>
      <c r="D241" s="47"/>
      <c r="E241" s="70"/>
      <c r="F241" s="47"/>
      <c r="G241" s="70"/>
      <c r="H241" s="53"/>
      <c r="I241" s="88"/>
    </row>
    <row r="242" spans="1:9" x14ac:dyDescent="0.2">
      <c r="A242" s="58"/>
      <c r="B242" s="47"/>
      <c r="C242" s="70"/>
      <c r="D242" s="47"/>
      <c r="E242" s="70"/>
      <c r="F242" s="47"/>
      <c r="G242" s="70"/>
      <c r="H242" s="53"/>
      <c r="I242" s="88"/>
    </row>
    <row r="243" spans="1:9" x14ac:dyDescent="0.2">
      <c r="A243" s="58"/>
      <c r="B243" s="47"/>
      <c r="C243" s="70"/>
      <c r="D243" s="47"/>
      <c r="E243" s="70"/>
      <c r="F243" s="47"/>
      <c r="G243" s="70"/>
      <c r="H243" s="53"/>
      <c r="I243" s="88"/>
    </row>
    <row r="244" spans="1:9" x14ac:dyDescent="0.2">
      <c r="A244" s="58"/>
      <c r="B244" s="47"/>
      <c r="C244" s="70"/>
      <c r="D244" s="47"/>
      <c r="E244" s="70"/>
      <c r="F244" s="47"/>
      <c r="G244" s="70"/>
      <c r="H244" s="53"/>
      <c r="I244" s="88"/>
    </row>
    <row r="245" spans="1:9" x14ac:dyDescent="0.2">
      <c r="A245" s="58"/>
      <c r="B245" s="47"/>
      <c r="C245" s="70"/>
      <c r="D245" s="47"/>
      <c r="E245" s="70"/>
      <c r="F245" s="47"/>
      <c r="G245" s="70"/>
      <c r="H245" s="53"/>
      <c r="I245" s="88"/>
    </row>
    <row r="246" spans="1:9" x14ac:dyDescent="0.2">
      <c r="A246" s="58"/>
      <c r="B246" s="47"/>
      <c r="C246" s="70"/>
      <c r="D246" s="47"/>
      <c r="E246" s="70"/>
      <c r="F246" s="47"/>
      <c r="G246" s="70"/>
      <c r="H246" s="53"/>
      <c r="I246" s="88"/>
    </row>
    <row r="247" spans="1:9" x14ac:dyDescent="0.2">
      <c r="A247" s="58"/>
      <c r="B247" s="47"/>
      <c r="C247" s="70"/>
      <c r="D247" s="47"/>
      <c r="E247" s="70"/>
      <c r="F247" s="47"/>
      <c r="G247" s="70"/>
      <c r="H247" s="53"/>
      <c r="I247" s="88"/>
    </row>
    <row r="248" spans="1:9" x14ac:dyDescent="0.2">
      <c r="A248" s="58"/>
      <c r="B248" s="47"/>
      <c r="C248" s="70"/>
      <c r="D248" s="47"/>
      <c r="E248" s="70"/>
      <c r="F248" s="47"/>
      <c r="G248" s="70"/>
      <c r="H248" s="53"/>
      <c r="I248" s="88"/>
    </row>
    <row r="249" spans="1:9" x14ac:dyDescent="0.2">
      <c r="A249" s="58"/>
      <c r="B249" s="47"/>
      <c r="C249" s="70"/>
      <c r="D249" s="47"/>
      <c r="E249" s="70"/>
      <c r="F249" s="47"/>
      <c r="G249" s="70"/>
      <c r="H249" s="53"/>
      <c r="I249" s="88"/>
    </row>
    <row r="250" spans="1:9" x14ac:dyDescent="0.2">
      <c r="A250" s="58"/>
      <c r="B250" s="47"/>
      <c r="C250" s="70"/>
      <c r="D250" s="47"/>
      <c r="E250" s="70"/>
      <c r="F250" s="47"/>
      <c r="G250" s="70"/>
      <c r="H250" s="53"/>
      <c r="I250" s="88"/>
    </row>
    <row r="251" spans="1:9" x14ac:dyDescent="0.2">
      <c r="A251" s="58"/>
      <c r="B251" s="47"/>
      <c r="C251" s="70"/>
      <c r="D251" s="47"/>
      <c r="E251" s="70"/>
      <c r="F251" s="47"/>
      <c r="G251" s="70"/>
      <c r="H251" s="53"/>
      <c r="I251" s="88"/>
    </row>
    <row r="252" spans="1:9" x14ac:dyDescent="0.2">
      <c r="A252" s="58"/>
      <c r="B252" s="47"/>
      <c r="C252" s="70"/>
      <c r="D252" s="47"/>
      <c r="E252" s="70"/>
      <c r="F252" s="47"/>
      <c r="G252" s="70"/>
      <c r="H252" s="53"/>
      <c r="I252" s="88"/>
    </row>
    <row r="253" spans="1:9" x14ac:dyDescent="0.2">
      <c r="A253" s="58"/>
      <c r="B253" s="47"/>
      <c r="C253" s="70"/>
      <c r="D253" s="47"/>
      <c r="E253" s="70"/>
      <c r="F253" s="47"/>
      <c r="G253" s="70"/>
      <c r="H253" s="53"/>
      <c r="I253" s="88"/>
    </row>
    <row r="254" spans="1:9" x14ac:dyDescent="0.2">
      <c r="A254" s="58"/>
      <c r="B254" s="47"/>
      <c r="C254" s="70"/>
      <c r="D254" s="47"/>
      <c r="E254" s="70"/>
      <c r="F254" s="47"/>
      <c r="G254" s="70"/>
      <c r="H254" s="53"/>
      <c r="I254" s="88"/>
    </row>
    <row r="255" spans="1:9" x14ac:dyDescent="0.2">
      <c r="A255" s="58"/>
      <c r="B255" s="47"/>
      <c r="C255" s="70"/>
      <c r="D255" s="47"/>
      <c r="E255" s="70"/>
      <c r="F255" s="47"/>
      <c r="G255" s="70"/>
      <c r="H255" s="53"/>
      <c r="I255" s="88"/>
    </row>
    <row r="256" spans="1:9" x14ac:dyDescent="0.2">
      <c r="A256" s="58"/>
      <c r="B256" s="47"/>
      <c r="C256" s="70"/>
      <c r="D256" s="47"/>
      <c r="E256" s="70"/>
      <c r="F256" s="47"/>
      <c r="G256" s="70"/>
      <c r="H256" s="53"/>
      <c r="I256" s="88"/>
    </row>
    <row r="257" spans="1:9" x14ac:dyDescent="0.2">
      <c r="A257" s="58"/>
      <c r="B257" s="47"/>
      <c r="C257" s="70"/>
      <c r="D257" s="47"/>
      <c r="E257" s="70"/>
      <c r="F257" s="47"/>
      <c r="G257" s="70"/>
      <c r="H257" s="53"/>
      <c r="I257" s="88"/>
    </row>
    <row r="258" spans="1:9" x14ac:dyDescent="0.2">
      <c r="A258" s="58"/>
      <c r="B258" s="47"/>
      <c r="C258" s="70"/>
      <c r="D258" s="47"/>
      <c r="E258" s="70"/>
      <c r="F258" s="47"/>
      <c r="G258" s="70"/>
      <c r="H258" s="53"/>
      <c r="I258" s="88"/>
    </row>
    <row r="259" spans="1:9" x14ac:dyDescent="0.2">
      <c r="A259" s="58"/>
      <c r="B259" s="47"/>
      <c r="C259" s="70"/>
      <c r="D259" s="47"/>
      <c r="E259" s="70"/>
      <c r="F259" s="47"/>
      <c r="G259" s="70"/>
      <c r="H259" s="53"/>
      <c r="I259" s="88"/>
    </row>
    <row r="260" spans="1:9" ht="13.5" thickBot="1" x14ac:dyDescent="0.25">
      <c r="A260" s="59"/>
      <c r="B260" s="55"/>
      <c r="C260" s="60"/>
      <c r="D260" s="55"/>
      <c r="E260" s="60"/>
      <c r="F260" s="55"/>
      <c r="G260" s="60"/>
      <c r="H260" s="57"/>
      <c r="I260" s="88"/>
    </row>
    <row r="261" spans="1:9" x14ac:dyDescent="0.2">
      <c r="A261" s="85"/>
      <c r="B261" s="86"/>
      <c r="C261" s="86"/>
      <c r="D261" s="86"/>
      <c r="E261" s="86"/>
      <c r="F261" s="86"/>
      <c r="G261" s="86"/>
      <c r="H261" s="86"/>
      <c r="I261" s="88"/>
    </row>
    <row r="262" spans="1:9" x14ac:dyDescent="0.2">
      <c r="A262" s="85"/>
      <c r="B262" s="86"/>
      <c r="C262" s="86"/>
      <c r="D262" s="86"/>
      <c r="E262" s="86"/>
      <c r="F262" s="86"/>
      <c r="G262" s="86"/>
      <c r="H262" s="86"/>
      <c r="I262" s="88"/>
    </row>
    <row r="263" spans="1:9" x14ac:dyDescent="0.2">
      <c r="A263" s="85"/>
      <c r="B263" s="86"/>
      <c r="C263" s="86"/>
      <c r="D263" s="86"/>
      <c r="E263" s="86"/>
      <c r="F263" s="86"/>
      <c r="G263" s="86"/>
      <c r="H263" s="86"/>
      <c r="I263" s="88"/>
    </row>
    <row r="264" spans="1:9" ht="13.5" thickBot="1" x14ac:dyDescent="0.25">
      <c r="A264" s="91"/>
      <c r="B264" s="92"/>
      <c r="C264" s="92"/>
      <c r="D264" s="92"/>
      <c r="E264" s="92"/>
      <c r="F264" s="92"/>
      <c r="G264" s="92"/>
      <c r="H264" s="92"/>
      <c r="I264" s="93"/>
    </row>
  </sheetData>
  <mergeCells count="1">
    <mergeCell ref="A1:H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O262"/>
  <sheetViews>
    <sheetView topLeftCell="A4" workbookViewId="0">
      <selection activeCell="E32" sqref="E32"/>
    </sheetView>
  </sheetViews>
  <sheetFormatPr baseColWidth="10" defaultRowHeight="12.75" x14ac:dyDescent="0.2"/>
  <cols>
    <col min="4" max="4" width="17" bestFit="1" customWidth="1"/>
    <col min="5" max="5" width="17.85546875" bestFit="1" customWidth="1"/>
    <col min="7" max="7" width="14.85546875" bestFit="1" customWidth="1"/>
    <col min="8" max="8" width="19.5703125" bestFit="1" customWidth="1"/>
    <col min="9" max="9" width="13.5703125" bestFit="1" customWidth="1"/>
    <col min="12" max="15" width="11.42578125" style="44"/>
  </cols>
  <sheetData>
    <row r="1" spans="1:11" ht="15.75" x14ac:dyDescent="0.25">
      <c r="A1" s="102" t="s">
        <v>63</v>
      </c>
      <c r="B1" s="103"/>
      <c r="C1" s="103"/>
      <c r="D1" s="103"/>
      <c r="E1" s="103"/>
      <c r="F1" s="103"/>
      <c r="G1" s="103"/>
      <c r="H1" s="103"/>
      <c r="I1" s="103"/>
      <c r="J1" s="103"/>
      <c r="K1" s="84"/>
    </row>
    <row r="2" spans="1:11" ht="13.5" thickBot="1" x14ac:dyDescent="0.25">
      <c r="A2" s="86"/>
      <c r="B2" s="86"/>
      <c r="C2" s="86"/>
      <c r="D2" s="86"/>
      <c r="E2" s="86"/>
      <c r="F2" s="86"/>
      <c r="G2" s="86"/>
      <c r="H2" s="86"/>
      <c r="I2" s="86"/>
      <c r="J2" s="86"/>
      <c r="K2" s="88"/>
    </row>
    <row r="3" spans="1:11" ht="13.5" thickBot="1" x14ac:dyDescent="0.25">
      <c r="A3" s="71" t="s">
        <v>62</v>
      </c>
      <c r="B3" s="80" t="s">
        <v>42</v>
      </c>
      <c r="C3" s="72" t="s">
        <v>74</v>
      </c>
      <c r="D3" s="80" t="s">
        <v>68</v>
      </c>
      <c r="E3" s="95" t="s">
        <v>73</v>
      </c>
      <c r="F3" s="80" t="s">
        <v>64</v>
      </c>
      <c r="G3" s="95" t="s">
        <v>75</v>
      </c>
      <c r="H3" s="80" t="s">
        <v>76</v>
      </c>
      <c r="I3" s="95" t="s">
        <v>77</v>
      </c>
      <c r="J3" s="81" t="s">
        <v>83</v>
      </c>
      <c r="K3" s="88"/>
    </row>
    <row r="4" spans="1:11" x14ac:dyDescent="0.2">
      <c r="K4" s="88"/>
    </row>
    <row r="5" spans="1:11" x14ac:dyDescent="0.2">
      <c r="K5" s="88"/>
    </row>
    <row r="6" spans="1:11" x14ac:dyDescent="0.2">
      <c r="K6" s="88"/>
    </row>
    <row r="7" spans="1:11" x14ac:dyDescent="0.2">
      <c r="K7" s="88"/>
    </row>
    <row r="8" spans="1:11" x14ac:dyDescent="0.2">
      <c r="K8" s="88"/>
    </row>
    <row r="9" spans="1:11" x14ac:dyDescent="0.2">
      <c r="K9" s="88"/>
    </row>
    <row r="10" spans="1:11" x14ac:dyDescent="0.2">
      <c r="K10" s="88"/>
    </row>
    <row r="11" spans="1:11" x14ac:dyDescent="0.2">
      <c r="K11" s="88"/>
    </row>
    <row r="12" spans="1:11" x14ac:dyDescent="0.2">
      <c r="K12" s="88"/>
    </row>
    <row r="13" spans="1:11" x14ac:dyDescent="0.2">
      <c r="K13" s="88"/>
    </row>
    <row r="14" spans="1:11" x14ac:dyDescent="0.2">
      <c r="K14" s="88"/>
    </row>
    <row r="15" spans="1:11" x14ac:dyDescent="0.2">
      <c r="K15" s="88"/>
    </row>
    <row r="16" spans="1:11" x14ac:dyDescent="0.2">
      <c r="K16" s="88"/>
    </row>
    <row r="17" spans="11:11" x14ac:dyDescent="0.2">
      <c r="K17" s="88"/>
    </row>
    <row r="18" spans="11:11" x14ac:dyDescent="0.2">
      <c r="K18" s="88"/>
    </row>
    <row r="19" spans="11:11" x14ac:dyDescent="0.2">
      <c r="K19" s="88"/>
    </row>
    <row r="20" spans="11:11" x14ac:dyDescent="0.2">
      <c r="K20" s="88"/>
    </row>
    <row r="21" spans="11:11" x14ac:dyDescent="0.2">
      <c r="K21" s="88"/>
    </row>
    <row r="22" spans="11:11" x14ac:dyDescent="0.2">
      <c r="K22" s="88"/>
    </row>
    <row r="23" spans="11:11" x14ac:dyDescent="0.2">
      <c r="K23" s="88"/>
    </row>
    <row r="24" spans="11:11" x14ac:dyDescent="0.2">
      <c r="K24" s="88"/>
    </row>
    <row r="25" spans="11:11" x14ac:dyDescent="0.2">
      <c r="K25" s="88"/>
    </row>
    <row r="26" spans="11:11" x14ac:dyDescent="0.2">
      <c r="K26" s="88"/>
    </row>
    <row r="27" spans="11:11" x14ac:dyDescent="0.2">
      <c r="K27" s="88"/>
    </row>
    <row r="28" spans="11:11" x14ac:dyDescent="0.2">
      <c r="K28" s="88"/>
    </row>
    <row r="29" spans="11:11" x14ac:dyDescent="0.2">
      <c r="K29" s="88"/>
    </row>
    <row r="30" spans="11:11" x14ac:dyDescent="0.2">
      <c r="K30" s="88"/>
    </row>
    <row r="31" spans="11:11" x14ac:dyDescent="0.2">
      <c r="K31" s="88"/>
    </row>
    <row r="32" spans="11:11" x14ac:dyDescent="0.2">
      <c r="K32" s="88"/>
    </row>
    <row r="33" spans="11:11" x14ac:dyDescent="0.2">
      <c r="K33" s="88"/>
    </row>
    <row r="34" spans="11:11" x14ac:dyDescent="0.2">
      <c r="K34" s="88"/>
    </row>
    <row r="35" spans="11:11" x14ac:dyDescent="0.2">
      <c r="K35" s="88"/>
    </row>
    <row r="36" spans="11:11" x14ac:dyDescent="0.2">
      <c r="K36" s="88"/>
    </row>
    <row r="37" spans="11:11" x14ac:dyDescent="0.2">
      <c r="K37" s="88"/>
    </row>
    <row r="38" spans="11:11" x14ac:dyDescent="0.2">
      <c r="K38" s="88"/>
    </row>
    <row r="39" spans="11:11" x14ac:dyDescent="0.2">
      <c r="K39" s="88"/>
    </row>
    <row r="40" spans="11:11" x14ac:dyDescent="0.2">
      <c r="K40" s="88"/>
    </row>
    <row r="41" spans="11:11" x14ac:dyDescent="0.2">
      <c r="K41" s="88"/>
    </row>
    <row r="42" spans="11:11" x14ac:dyDescent="0.2">
      <c r="K42" s="88"/>
    </row>
    <row r="43" spans="11:11" x14ac:dyDescent="0.2">
      <c r="K43" s="88"/>
    </row>
    <row r="44" spans="11:11" x14ac:dyDescent="0.2">
      <c r="K44" s="88"/>
    </row>
    <row r="45" spans="11:11" x14ac:dyDescent="0.2">
      <c r="K45" s="88"/>
    </row>
    <row r="46" spans="11:11" x14ac:dyDescent="0.2">
      <c r="K46" s="88"/>
    </row>
    <row r="47" spans="11:11" x14ac:dyDescent="0.2">
      <c r="K47" s="88"/>
    </row>
    <row r="48" spans="11:11" x14ac:dyDescent="0.2">
      <c r="K48" s="88"/>
    </row>
    <row r="49" spans="11:11" x14ac:dyDescent="0.2">
      <c r="K49" s="88"/>
    </row>
    <row r="50" spans="11:11" x14ac:dyDescent="0.2">
      <c r="K50" s="88"/>
    </row>
    <row r="51" spans="11:11" x14ac:dyDescent="0.2">
      <c r="K51" s="88"/>
    </row>
    <row r="52" spans="11:11" x14ac:dyDescent="0.2">
      <c r="K52" s="88"/>
    </row>
    <row r="53" spans="11:11" x14ac:dyDescent="0.2">
      <c r="K53" s="88"/>
    </row>
    <row r="54" spans="11:11" x14ac:dyDescent="0.2">
      <c r="K54" s="88"/>
    </row>
    <row r="55" spans="11:11" x14ac:dyDescent="0.2">
      <c r="K55" s="88"/>
    </row>
    <row r="56" spans="11:11" x14ac:dyDescent="0.2">
      <c r="K56" s="88"/>
    </row>
    <row r="57" spans="11:11" x14ac:dyDescent="0.2">
      <c r="K57" s="88"/>
    </row>
    <row r="58" spans="11:11" x14ac:dyDescent="0.2">
      <c r="K58" s="88"/>
    </row>
    <row r="59" spans="11:11" x14ac:dyDescent="0.2">
      <c r="K59" s="88"/>
    </row>
    <row r="60" spans="11:11" x14ac:dyDescent="0.2">
      <c r="K60" s="88"/>
    </row>
    <row r="61" spans="11:11" x14ac:dyDescent="0.2">
      <c r="K61" s="88"/>
    </row>
    <row r="62" spans="11:11" x14ac:dyDescent="0.2">
      <c r="K62" s="88"/>
    </row>
    <row r="63" spans="11:11" x14ac:dyDescent="0.2">
      <c r="K63" s="88"/>
    </row>
    <row r="64" spans="11:11" x14ac:dyDescent="0.2">
      <c r="K64" s="88"/>
    </row>
    <row r="65" spans="11:11" x14ac:dyDescent="0.2">
      <c r="K65" s="88"/>
    </row>
    <row r="66" spans="11:11" x14ac:dyDescent="0.2">
      <c r="K66" s="88"/>
    </row>
    <row r="67" spans="11:11" x14ac:dyDescent="0.2">
      <c r="K67" s="88"/>
    </row>
    <row r="68" spans="11:11" x14ac:dyDescent="0.2">
      <c r="K68" s="88"/>
    </row>
    <row r="69" spans="11:11" x14ac:dyDescent="0.2">
      <c r="K69" s="88"/>
    </row>
    <row r="70" spans="11:11" x14ac:dyDescent="0.2">
      <c r="K70" s="88"/>
    </row>
    <row r="71" spans="11:11" x14ac:dyDescent="0.2">
      <c r="K71" s="88"/>
    </row>
    <row r="72" spans="11:11" x14ac:dyDescent="0.2">
      <c r="K72" s="88"/>
    </row>
    <row r="73" spans="11:11" x14ac:dyDescent="0.2">
      <c r="K73" s="88"/>
    </row>
    <row r="74" spans="11:11" x14ac:dyDescent="0.2">
      <c r="K74" s="88"/>
    </row>
    <row r="75" spans="11:11" x14ac:dyDescent="0.2">
      <c r="K75" s="88"/>
    </row>
    <row r="76" spans="11:11" x14ac:dyDescent="0.2">
      <c r="K76" s="88"/>
    </row>
    <row r="77" spans="11:11" x14ac:dyDescent="0.2">
      <c r="K77" s="88"/>
    </row>
    <row r="78" spans="11:11" x14ac:dyDescent="0.2">
      <c r="K78" s="88"/>
    </row>
    <row r="79" spans="11:11" x14ac:dyDescent="0.2">
      <c r="K79" s="88"/>
    </row>
    <row r="80" spans="11:11" x14ac:dyDescent="0.2">
      <c r="K80" s="88"/>
    </row>
    <row r="81" spans="11:11" x14ac:dyDescent="0.2">
      <c r="K81" s="88"/>
    </row>
    <row r="82" spans="11:11" x14ac:dyDescent="0.2">
      <c r="K82" s="88"/>
    </row>
    <row r="83" spans="11:11" x14ac:dyDescent="0.2">
      <c r="K83" s="88"/>
    </row>
    <row r="84" spans="11:11" x14ac:dyDescent="0.2">
      <c r="K84" s="88"/>
    </row>
    <row r="85" spans="11:11" x14ac:dyDescent="0.2">
      <c r="K85" s="88"/>
    </row>
    <row r="86" spans="11:11" x14ac:dyDescent="0.2">
      <c r="K86" s="88"/>
    </row>
    <row r="87" spans="11:11" x14ac:dyDescent="0.2">
      <c r="K87" s="88"/>
    </row>
    <row r="88" spans="11:11" x14ac:dyDescent="0.2">
      <c r="K88" s="88"/>
    </row>
    <row r="89" spans="11:11" x14ac:dyDescent="0.2">
      <c r="K89" s="88"/>
    </row>
    <row r="90" spans="11:11" x14ac:dyDescent="0.2">
      <c r="K90" s="88"/>
    </row>
    <row r="91" spans="11:11" x14ac:dyDescent="0.2">
      <c r="K91" s="88"/>
    </row>
    <row r="92" spans="11:11" x14ac:dyDescent="0.2">
      <c r="K92" s="88"/>
    </row>
    <row r="93" spans="11:11" x14ac:dyDescent="0.2">
      <c r="K93" s="88"/>
    </row>
    <row r="94" spans="11:11" x14ac:dyDescent="0.2">
      <c r="K94" s="88"/>
    </row>
    <row r="95" spans="11:11" x14ac:dyDescent="0.2">
      <c r="K95" s="88"/>
    </row>
    <row r="96" spans="11:11" x14ac:dyDescent="0.2">
      <c r="K96" s="88"/>
    </row>
    <row r="97" spans="11:11" x14ac:dyDescent="0.2">
      <c r="K97" s="88"/>
    </row>
    <row r="98" spans="11:11" x14ac:dyDescent="0.2">
      <c r="K98" s="88"/>
    </row>
    <row r="99" spans="11:11" x14ac:dyDescent="0.2">
      <c r="K99" s="88"/>
    </row>
    <row r="100" spans="11:11" x14ac:dyDescent="0.2">
      <c r="K100" s="88"/>
    </row>
    <row r="101" spans="11:11" x14ac:dyDescent="0.2">
      <c r="K101" s="88"/>
    </row>
    <row r="102" spans="11:11" x14ac:dyDescent="0.2">
      <c r="K102" s="88"/>
    </row>
    <row r="103" spans="11:11" x14ac:dyDescent="0.2">
      <c r="K103" s="88"/>
    </row>
    <row r="104" spans="11:11" x14ac:dyDescent="0.2">
      <c r="K104" s="88"/>
    </row>
    <row r="105" spans="11:11" x14ac:dyDescent="0.2">
      <c r="K105" s="88"/>
    </row>
    <row r="106" spans="11:11" x14ac:dyDescent="0.2">
      <c r="K106" s="88"/>
    </row>
    <row r="107" spans="11:11" x14ac:dyDescent="0.2">
      <c r="K107" s="88"/>
    </row>
    <row r="108" spans="11:11" x14ac:dyDescent="0.2">
      <c r="K108" s="88"/>
    </row>
    <row r="109" spans="11:11" x14ac:dyDescent="0.2">
      <c r="K109" s="88"/>
    </row>
    <row r="110" spans="11:11" x14ac:dyDescent="0.2">
      <c r="K110" s="88"/>
    </row>
    <row r="111" spans="11:11" x14ac:dyDescent="0.2">
      <c r="K111" s="88"/>
    </row>
    <row r="112" spans="11:11" x14ac:dyDescent="0.2">
      <c r="K112" s="88"/>
    </row>
    <row r="113" spans="11:11" x14ac:dyDescent="0.2">
      <c r="K113" s="88"/>
    </row>
    <row r="114" spans="11:11" x14ac:dyDescent="0.2">
      <c r="K114" s="88"/>
    </row>
    <row r="115" spans="11:11" x14ac:dyDescent="0.2">
      <c r="K115" s="88"/>
    </row>
    <row r="116" spans="11:11" x14ac:dyDescent="0.2">
      <c r="K116" s="88"/>
    </row>
    <row r="117" spans="11:11" x14ac:dyDescent="0.2">
      <c r="K117" s="88"/>
    </row>
    <row r="118" spans="11:11" x14ac:dyDescent="0.2">
      <c r="K118" s="88"/>
    </row>
    <row r="119" spans="11:11" x14ac:dyDescent="0.2">
      <c r="K119" s="88"/>
    </row>
    <row r="120" spans="11:11" x14ac:dyDescent="0.2">
      <c r="K120" s="88"/>
    </row>
    <row r="121" spans="11:11" x14ac:dyDescent="0.2">
      <c r="K121" s="88"/>
    </row>
    <row r="122" spans="11:11" x14ac:dyDescent="0.2">
      <c r="K122" s="88"/>
    </row>
    <row r="123" spans="11:11" x14ac:dyDescent="0.2">
      <c r="K123" s="88"/>
    </row>
    <row r="124" spans="11:11" x14ac:dyDescent="0.2">
      <c r="K124" s="88"/>
    </row>
    <row r="125" spans="11:11" x14ac:dyDescent="0.2">
      <c r="K125" s="88"/>
    </row>
    <row r="126" spans="11:11" x14ac:dyDescent="0.2">
      <c r="K126" s="88"/>
    </row>
    <row r="127" spans="11:11" x14ac:dyDescent="0.2">
      <c r="K127" s="88"/>
    </row>
    <row r="128" spans="11:11" x14ac:dyDescent="0.2">
      <c r="K128" s="88"/>
    </row>
    <row r="129" spans="11:11" x14ac:dyDescent="0.2">
      <c r="K129" s="88"/>
    </row>
    <row r="130" spans="11:11" x14ac:dyDescent="0.2">
      <c r="K130" s="88"/>
    </row>
    <row r="131" spans="11:11" x14ac:dyDescent="0.2">
      <c r="K131" s="88"/>
    </row>
    <row r="132" spans="11:11" x14ac:dyDescent="0.2">
      <c r="K132" s="88"/>
    </row>
    <row r="133" spans="11:11" x14ac:dyDescent="0.2">
      <c r="K133" s="88"/>
    </row>
    <row r="134" spans="11:11" x14ac:dyDescent="0.2">
      <c r="K134" s="88"/>
    </row>
    <row r="135" spans="11:11" x14ac:dyDescent="0.2">
      <c r="K135" s="88"/>
    </row>
    <row r="136" spans="11:11" x14ac:dyDescent="0.2">
      <c r="K136" s="88"/>
    </row>
    <row r="137" spans="11:11" x14ac:dyDescent="0.2">
      <c r="K137" s="88"/>
    </row>
    <row r="138" spans="11:11" x14ac:dyDescent="0.2">
      <c r="K138" s="88"/>
    </row>
    <row r="139" spans="11:11" x14ac:dyDescent="0.2">
      <c r="K139" s="88"/>
    </row>
    <row r="140" spans="11:11" x14ac:dyDescent="0.2">
      <c r="K140" s="88"/>
    </row>
    <row r="141" spans="11:11" x14ac:dyDescent="0.2">
      <c r="K141" s="88"/>
    </row>
    <row r="142" spans="11:11" x14ac:dyDescent="0.2">
      <c r="K142" s="88"/>
    </row>
    <row r="143" spans="11:11" x14ac:dyDescent="0.2">
      <c r="K143" s="88"/>
    </row>
    <row r="144" spans="11:11" x14ac:dyDescent="0.2">
      <c r="K144" s="88"/>
    </row>
    <row r="145" spans="11:11" x14ac:dyDescent="0.2">
      <c r="K145" s="88"/>
    </row>
    <row r="146" spans="11:11" x14ac:dyDescent="0.2">
      <c r="K146" s="88"/>
    </row>
    <row r="147" spans="11:11" x14ac:dyDescent="0.2">
      <c r="K147" s="88"/>
    </row>
    <row r="148" spans="11:11" x14ac:dyDescent="0.2">
      <c r="K148" s="88"/>
    </row>
    <row r="149" spans="11:11" x14ac:dyDescent="0.2">
      <c r="K149" s="88"/>
    </row>
    <row r="150" spans="11:11" x14ac:dyDescent="0.2">
      <c r="K150" s="88"/>
    </row>
    <row r="151" spans="11:11" x14ac:dyDescent="0.2">
      <c r="K151" s="88"/>
    </row>
    <row r="152" spans="11:11" x14ac:dyDescent="0.2">
      <c r="K152" s="88"/>
    </row>
    <row r="153" spans="11:11" x14ac:dyDescent="0.2">
      <c r="K153" s="88"/>
    </row>
    <row r="154" spans="11:11" x14ac:dyDescent="0.2">
      <c r="K154" s="88"/>
    </row>
    <row r="155" spans="11:11" x14ac:dyDescent="0.2">
      <c r="K155" s="88"/>
    </row>
    <row r="156" spans="11:11" x14ac:dyDescent="0.2">
      <c r="K156" s="88"/>
    </row>
    <row r="157" spans="11:11" x14ac:dyDescent="0.2">
      <c r="K157" s="88"/>
    </row>
    <row r="158" spans="11:11" x14ac:dyDescent="0.2">
      <c r="K158" s="88"/>
    </row>
    <row r="159" spans="11:11" x14ac:dyDescent="0.2">
      <c r="K159" s="88"/>
    </row>
    <row r="160" spans="11:11" x14ac:dyDescent="0.2">
      <c r="K160" s="88"/>
    </row>
    <row r="161" spans="11:11" x14ac:dyDescent="0.2">
      <c r="K161" s="88"/>
    </row>
    <row r="162" spans="11:11" x14ac:dyDescent="0.2">
      <c r="K162" s="88"/>
    </row>
    <row r="163" spans="11:11" x14ac:dyDescent="0.2">
      <c r="K163" s="88"/>
    </row>
    <row r="164" spans="11:11" x14ac:dyDescent="0.2">
      <c r="K164" s="88"/>
    </row>
    <row r="165" spans="11:11" x14ac:dyDescent="0.2">
      <c r="K165" s="88"/>
    </row>
    <row r="166" spans="11:11" x14ac:dyDescent="0.2">
      <c r="K166" s="88"/>
    </row>
    <row r="167" spans="11:11" x14ac:dyDescent="0.2">
      <c r="K167" s="88"/>
    </row>
    <row r="168" spans="11:11" x14ac:dyDescent="0.2">
      <c r="K168" s="88"/>
    </row>
    <row r="169" spans="11:11" x14ac:dyDescent="0.2">
      <c r="K169" s="88"/>
    </row>
    <row r="170" spans="11:11" x14ac:dyDescent="0.2">
      <c r="K170" s="88"/>
    </row>
    <row r="171" spans="11:11" x14ac:dyDescent="0.2">
      <c r="K171" s="88"/>
    </row>
    <row r="172" spans="11:11" x14ac:dyDescent="0.2">
      <c r="K172" s="88"/>
    </row>
    <row r="173" spans="11:11" x14ac:dyDescent="0.2">
      <c r="K173" s="88"/>
    </row>
    <row r="174" spans="11:11" x14ac:dyDescent="0.2">
      <c r="K174" s="88"/>
    </row>
    <row r="175" spans="11:11" x14ac:dyDescent="0.2">
      <c r="K175" s="88"/>
    </row>
    <row r="176" spans="11:11" x14ac:dyDescent="0.2">
      <c r="K176" s="88"/>
    </row>
    <row r="177" spans="11:11" x14ac:dyDescent="0.2">
      <c r="K177" s="88"/>
    </row>
    <row r="178" spans="11:11" x14ac:dyDescent="0.2">
      <c r="K178" s="88"/>
    </row>
    <row r="179" spans="11:11" x14ac:dyDescent="0.2">
      <c r="K179" s="88"/>
    </row>
    <row r="180" spans="11:11" x14ac:dyDescent="0.2">
      <c r="K180" s="88"/>
    </row>
    <row r="181" spans="11:11" x14ac:dyDescent="0.2">
      <c r="K181" s="88"/>
    </row>
    <row r="182" spans="11:11" x14ac:dyDescent="0.2">
      <c r="K182" s="88"/>
    </row>
    <row r="183" spans="11:11" x14ac:dyDescent="0.2">
      <c r="K183" s="88"/>
    </row>
    <row r="184" spans="11:11" x14ac:dyDescent="0.2">
      <c r="K184" s="88"/>
    </row>
    <row r="185" spans="11:11" x14ac:dyDescent="0.2">
      <c r="K185" s="88"/>
    </row>
    <row r="186" spans="11:11" x14ac:dyDescent="0.2">
      <c r="K186" s="88"/>
    </row>
    <row r="187" spans="11:11" x14ac:dyDescent="0.2">
      <c r="K187" s="88"/>
    </row>
    <row r="188" spans="11:11" x14ac:dyDescent="0.2">
      <c r="K188" s="88"/>
    </row>
    <row r="189" spans="11:11" x14ac:dyDescent="0.2">
      <c r="K189" s="88"/>
    </row>
    <row r="190" spans="11:11" x14ac:dyDescent="0.2">
      <c r="K190" s="88"/>
    </row>
    <row r="191" spans="11:11" x14ac:dyDescent="0.2">
      <c r="K191" s="88"/>
    </row>
    <row r="192" spans="11:11" x14ac:dyDescent="0.2">
      <c r="K192" s="88"/>
    </row>
    <row r="193" spans="11:11" x14ac:dyDescent="0.2">
      <c r="K193" s="88"/>
    </row>
    <row r="194" spans="11:11" x14ac:dyDescent="0.2">
      <c r="K194" s="88"/>
    </row>
    <row r="195" spans="11:11" x14ac:dyDescent="0.2">
      <c r="K195" s="88"/>
    </row>
    <row r="196" spans="11:11" x14ac:dyDescent="0.2">
      <c r="K196" s="88"/>
    </row>
    <row r="197" spans="11:11" x14ac:dyDescent="0.2">
      <c r="K197" s="88"/>
    </row>
    <row r="198" spans="11:11" x14ac:dyDescent="0.2">
      <c r="K198" s="88"/>
    </row>
    <row r="199" spans="11:11" x14ac:dyDescent="0.2">
      <c r="K199" s="88"/>
    </row>
    <row r="200" spans="11:11" x14ac:dyDescent="0.2">
      <c r="K200" s="88"/>
    </row>
    <row r="201" spans="11:11" x14ac:dyDescent="0.2">
      <c r="K201" s="88"/>
    </row>
    <row r="202" spans="11:11" x14ac:dyDescent="0.2">
      <c r="K202" s="88"/>
    </row>
    <row r="203" spans="11:11" x14ac:dyDescent="0.2">
      <c r="K203" s="88"/>
    </row>
    <row r="204" spans="11:11" x14ac:dyDescent="0.2">
      <c r="K204" s="88"/>
    </row>
    <row r="205" spans="11:11" x14ac:dyDescent="0.2">
      <c r="K205" s="88"/>
    </row>
    <row r="206" spans="11:11" x14ac:dyDescent="0.2">
      <c r="K206" s="88"/>
    </row>
    <row r="207" spans="11:11" x14ac:dyDescent="0.2">
      <c r="K207" s="88"/>
    </row>
    <row r="208" spans="11:11" x14ac:dyDescent="0.2">
      <c r="K208" s="88"/>
    </row>
    <row r="209" spans="11:11" x14ac:dyDescent="0.2">
      <c r="K209" s="88"/>
    </row>
    <row r="210" spans="11:11" x14ac:dyDescent="0.2">
      <c r="K210" s="88"/>
    </row>
    <row r="211" spans="11:11" x14ac:dyDescent="0.2">
      <c r="K211" s="88"/>
    </row>
    <row r="212" spans="11:11" x14ac:dyDescent="0.2">
      <c r="K212" s="88"/>
    </row>
    <row r="213" spans="11:11" x14ac:dyDescent="0.2">
      <c r="K213" s="88"/>
    </row>
    <row r="214" spans="11:11" x14ac:dyDescent="0.2">
      <c r="K214" s="88"/>
    </row>
    <row r="215" spans="11:11" x14ac:dyDescent="0.2">
      <c r="K215" s="88"/>
    </row>
    <row r="216" spans="11:11" x14ac:dyDescent="0.2">
      <c r="K216" s="88"/>
    </row>
    <row r="217" spans="11:11" x14ac:dyDescent="0.2">
      <c r="K217" s="88"/>
    </row>
    <row r="218" spans="11:11" x14ac:dyDescent="0.2">
      <c r="K218" s="88"/>
    </row>
    <row r="219" spans="11:11" x14ac:dyDescent="0.2">
      <c r="K219" s="88"/>
    </row>
    <row r="220" spans="11:11" x14ac:dyDescent="0.2">
      <c r="K220" s="88"/>
    </row>
    <row r="221" spans="11:11" x14ac:dyDescent="0.2">
      <c r="K221" s="88"/>
    </row>
    <row r="222" spans="11:11" x14ac:dyDescent="0.2">
      <c r="K222" s="88"/>
    </row>
    <row r="223" spans="11:11" x14ac:dyDescent="0.2">
      <c r="K223" s="88"/>
    </row>
    <row r="224" spans="11:11" x14ac:dyDescent="0.2">
      <c r="K224" s="88"/>
    </row>
    <row r="225" spans="11:11" x14ac:dyDescent="0.2">
      <c r="K225" s="88"/>
    </row>
    <row r="226" spans="11:11" x14ac:dyDescent="0.2">
      <c r="K226" s="88"/>
    </row>
    <row r="227" spans="11:11" x14ac:dyDescent="0.2">
      <c r="K227" s="88"/>
    </row>
    <row r="228" spans="11:11" x14ac:dyDescent="0.2">
      <c r="K228" s="88"/>
    </row>
    <row r="229" spans="11:11" x14ac:dyDescent="0.2">
      <c r="K229" s="88"/>
    </row>
    <row r="230" spans="11:11" x14ac:dyDescent="0.2">
      <c r="K230" s="88"/>
    </row>
    <row r="231" spans="11:11" x14ac:dyDescent="0.2">
      <c r="K231" s="88"/>
    </row>
    <row r="232" spans="11:11" x14ac:dyDescent="0.2">
      <c r="K232" s="88"/>
    </row>
    <row r="233" spans="11:11" x14ac:dyDescent="0.2">
      <c r="K233" s="88"/>
    </row>
    <row r="234" spans="11:11" x14ac:dyDescent="0.2">
      <c r="K234" s="88"/>
    </row>
    <row r="235" spans="11:11" x14ac:dyDescent="0.2">
      <c r="K235" s="88"/>
    </row>
    <row r="236" spans="11:11" x14ac:dyDescent="0.2">
      <c r="K236" s="88"/>
    </row>
    <row r="237" spans="11:11" x14ac:dyDescent="0.2">
      <c r="K237" s="88"/>
    </row>
    <row r="238" spans="11:11" x14ac:dyDescent="0.2">
      <c r="K238" s="88"/>
    </row>
    <row r="239" spans="11:11" x14ac:dyDescent="0.2">
      <c r="K239" s="88"/>
    </row>
    <row r="240" spans="11:11" x14ac:dyDescent="0.2">
      <c r="K240" s="88"/>
    </row>
    <row r="241" spans="11:11" x14ac:dyDescent="0.2">
      <c r="K241" s="88"/>
    </row>
    <row r="242" spans="11:11" x14ac:dyDescent="0.2">
      <c r="K242" s="88"/>
    </row>
    <row r="243" spans="11:11" x14ac:dyDescent="0.2">
      <c r="K243" s="88"/>
    </row>
    <row r="244" spans="11:11" x14ac:dyDescent="0.2">
      <c r="K244" s="88"/>
    </row>
    <row r="245" spans="11:11" x14ac:dyDescent="0.2">
      <c r="K245" s="88"/>
    </row>
    <row r="246" spans="11:11" x14ac:dyDescent="0.2">
      <c r="K246" s="88"/>
    </row>
    <row r="247" spans="11:11" x14ac:dyDescent="0.2">
      <c r="K247" s="88"/>
    </row>
    <row r="248" spans="11:11" x14ac:dyDescent="0.2">
      <c r="K248" s="88"/>
    </row>
    <row r="249" spans="11:11" x14ac:dyDescent="0.2">
      <c r="K249" s="88"/>
    </row>
    <row r="250" spans="11:11" x14ac:dyDescent="0.2">
      <c r="K250" s="88"/>
    </row>
    <row r="251" spans="11:11" x14ac:dyDescent="0.2">
      <c r="K251" s="88"/>
    </row>
    <row r="252" spans="11:11" x14ac:dyDescent="0.2">
      <c r="K252" s="88"/>
    </row>
    <row r="253" spans="11:11" x14ac:dyDescent="0.2">
      <c r="K253" s="88"/>
    </row>
    <row r="254" spans="11:11" x14ac:dyDescent="0.2">
      <c r="K254" s="88"/>
    </row>
    <row r="255" spans="11:11" x14ac:dyDescent="0.2">
      <c r="K255" s="88"/>
    </row>
    <row r="256" spans="11:11" x14ac:dyDescent="0.2">
      <c r="K256" s="88"/>
    </row>
    <row r="257" spans="1:11" x14ac:dyDescent="0.2">
      <c r="K257" s="88"/>
    </row>
    <row r="258" spans="1:11" x14ac:dyDescent="0.2">
      <c r="K258" s="88"/>
    </row>
    <row r="259" spans="1:11" x14ac:dyDescent="0.2">
      <c r="K259" s="88"/>
    </row>
    <row r="260" spans="1:11" x14ac:dyDescent="0.2">
      <c r="K260" s="88"/>
    </row>
    <row r="261" spans="1:11" x14ac:dyDescent="0.2">
      <c r="A261" s="66"/>
      <c r="B261" s="67"/>
      <c r="C261" s="67"/>
      <c r="D261" s="86"/>
      <c r="E261" s="86"/>
      <c r="F261" s="86"/>
      <c r="G261" s="86"/>
      <c r="H261" s="86"/>
      <c r="I261" s="86"/>
      <c r="J261" s="86"/>
      <c r="K261" s="88"/>
    </row>
    <row r="262" spans="1:11" ht="13.5" thickBot="1" x14ac:dyDescent="0.25">
      <c r="A262" s="68"/>
      <c r="B262" s="69"/>
      <c r="C262" s="69"/>
      <c r="D262" s="92"/>
      <c r="E262" s="92"/>
      <c r="F262" s="92"/>
      <c r="G262" s="92"/>
      <c r="H262" s="92"/>
      <c r="I262" s="92"/>
      <c r="J262" s="92"/>
      <c r="K262" s="93"/>
    </row>
  </sheetData>
  <mergeCells count="1">
    <mergeCell ref="A1:J1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K271"/>
  <sheetViews>
    <sheetView workbookViewId="0">
      <selection activeCell="C9" sqref="C9"/>
    </sheetView>
  </sheetViews>
  <sheetFormatPr baseColWidth="10" defaultRowHeight="12.75" x14ac:dyDescent="0.2"/>
  <cols>
    <col min="3" max="3" width="24" bestFit="1" customWidth="1"/>
    <col min="4" max="4" width="14" bestFit="1" customWidth="1"/>
    <col min="6" max="11" width="11.42578125" style="44"/>
  </cols>
  <sheetData>
    <row r="1" spans="1:5" ht="15.75" x14ac:dyDescent="0.25">
      <c r="A1" s="102" t="s">
        <v>81</v>
      </c>
      <c r="B1" s="103"/>
      <c r="C1" s="103"/>
      <c r="D1" s="103"/>
      <c r="E1" s="45"/>
    </row>
    <row r="2" spans="1:5" ht="13.5" thickBot="1" x14ac:dyDescent="0.25">
      <c r="A2" s="45"/>
      <c r="B2" s="45"/>
      <c r="C2" s="45"/>
      <c r="D2" s="45"/>
      <c r="E2" s="45"/>
    </row>
    <row r="3" spans="1:5" ht="13.5" thickBot="1" x14ac:dyDescent="0.25">
      <c r="A3" s="71" t="s">
        <v>82</v>
      </c>
      <c r="B3" s="80" t="s">
        <v>78</v>
      </c>
      <c r="C3" s="72" t="s">
        <v>79</v>
      </c>
      <c r="D3" s="81" t="s">
        <v>80</v>
      </c>
      <c r="E3" s="45"/>
    </row>
    <row r="4" spans="1:5" x14ac:dyDescent="0.2">
      <c r="A4" s="2"/>
      <c r="B4" s="94"/>
      <c r="C4" s="1"/>
      <c r="D4" s="96"/>
      <c r="E4" s="45"/>
    </row>
    <row r="5" spans="1:5" x14ac:dyDescent="0.2">
      <c r="A5" s="58"/>
      <c r="B5" s="47"/>
      <c r="C5" s="70"/>
      <c r="D5" s="53"/>
      <c r="E5" s="45"/>
    </row>
    <row r="6" spans="1:5" x14ac:dyDescent="0.2">
      <c r="A6" s="58"/>
      <c r="B6" s="47"/>
      <c r="C6" s="70"/>
      <c r="D6" s="53"/>
      <c r="E6" s="45"/>
    </row>
    <row r="7" spans="1:5" x14ac:dyDescent="0.2">
      <c r="A7" s="58"/>
      <c r="B7" s="47"/>
      <c r="C7" s="70"/>
      <c r="D7" s="53"/>
      <c r="E7" s="45"/>
    </row>
    <row r="8" spans="1:5" x14ac:dyDescent="0.2">
      <c r="A8" s="58"/>
      <c r="B8" s="47"/>
      <c r="C8" s="70"/>
      <c r="D8" s="53"/>
      <c r="E8" s="45"/>
    </row>
    <row r="9" spans="1:5" x14ac:dyDescent="0.2">
      <c r="A9" s="58"/>
      <c r="B9" s="47"/>
      <c r="C9" s="70"/>
      <c r="D9" s="53"/>
      <c r="E9" s="45"/>
    </row>
    <row r="10" spans="1:5" x14ac:dyDescent="0.2">
      <c r="A10" s="58"/>
      <c r="B10" s="47"/>
      <c r="C10" s="70"/>
      <c r="D10" s="53"/>
      <c r="E10" s="45"/>
    </row>
    <row r="11" spans="1:5" x14ac:dyDescent="0.2">
      <c r="A11" s="58"/>
      <c r="B11" s="47"/>
      <c r="C11" s="70"/>
      <c r="D11" s="53"/>
      <c r="E11" s="45"/>
    </row>
    <row r="12" spans="1:5" x14ac:dyDescent="0.2">
      <c r="A12" s="58"/>
      <c r="B12" s="47"/>
      <c r="C12" s="70"/>
      <c r="D12" s="53"/>
      <c r="E12" s="45"/>
    </row>
    <row r="13" spans="1:5" x14ac:dyDescent="0.2">
      <c r="A13" s="58"/>
      <c r="B13" s="47"/>
      <c r="C13" s="70"/>
      <c r="D13" s="53"/>
      <c r="E13" s="45"/>
    </row>
    <row r="14" spans="1:5" x14ac:dyDescent="0.2">
      <c r="A14" s="58"/>
      <c r="B14" s="47"/>
      <c r="C14" s="70"/>
      <c r="D14" s="53"/>
      <c r="E14" s="45"/>
    </row>
    <row r="15" spans="1:5" x14ac:dyDescent="0.2">
      <c r="A15" s="58"/>
      <c r="B15" s="47"/>
      <c r="C15" s="70"/>
      <c r="D15" s="53"/>
      <c r="E15" s="45"/>
    </row>
    <row r="16" spans="1:5" x14ac:dyDescent="0.2">
      <c r="A16" s="58"/>
      <c r="B16" s="47"/>
      <c r="C16" s="70"/>
      <c r="D16" s="53"/>
      <c r="E16" s="45"/>
    </row>
    <row r="17" spans="1:5" x14ac:dyDescent="0.2">
      <c r="A17" s="58"/>
      <c r="B17" s="47"/>
      <c r="C17" s="70"/>
      <c r="D17" s="53"/>
      <c r="E17" s="45"/>
    </row>
    <row r="18" spans="1:5" x14ac:dyDescent="0.2">
      <c r="A18" s="58"/>
      <c r="B18" s="47"/>
      <c r="C18" s="70"/>
      <c r="D18" s="53"/>
      <c r="E18" s="45"/>
    </row>
    <row r="19" spans="1:5" x14ac:dyDescent="0.2">
      <c r="A19" s="58"/>
      <c r="B19" s="47"/>
      <c r="C19" s="70"/>
      <c r="D19" s="53"/>
      <c r="E19" s="45"/>
    </row>
    <row r="20" spans="1:5" x14ac:dyDescent="0.2">
      <c r="A20" s="58"/>
      <c r="B20" s="47"/>
      <c r="C20" s="70"/>
      <c r="D20" s="53"/>
      <c r="E20" s="45"/>
    </row>
    <row r="21" spans="1:5" x14ac:dyDescent="0.2">
      <c r="A21" s="58"/>
      <c r="B21" s="47"/>
      <c r="C21" s="70"/>
      <c r="D21" s="53"/>
      <c r="E21" s="45"/>
    </row>
    <row r="22" spans="1:5" x14ac:dyDescent="0.2">
      <c r="A22" s="58"/>
      <c r="B22" s="47"/>
      <c r="C22" s="70"/>
      <c r="D22" s="53"/>
      <c r="E22" s="45"/>
    </row>
    <row r="23" spans="1:5" x14ac:dyDescent="0.2">
      <c r="A23" s="58"/>
      <c r="B23" s="47"/>
      <c r="C23" s="70"/>
      <c r="D23" s="53"/>
      <c r="E23" s="45"/>
    </row>
    <row r="24" spans="1:5" x14ac:dyDescent="0.2">
      <c r="A24" s="58"/>
      <c r="B24" s="47"/>
      <c r="C24" s="70"/>
      <c r="D24" s="53"/>
      <c r="E24" s="45"/>
    </row>
    <row r="25" spans="1:5" x14ac:dyDescent="0.2">
      <c r="A25" s="58"/>
      <c r="B25" s="47"/>
      <c r="C25" s="70"/>
      <c r="D25" s="53"/>
      <c r="E25" s="45"/>
    </row>
    <row r="26" spans="1:5" x14ac:dyDescent="0.2">
      <c r="A26" s="58"/>
      <c r="B26" s="47"/>
      <c r="C26" s="70"/>
      <c r="D26" s="53"/>
      <c r="E26" s="45"/>
    </row>
    <row r="27" spans="1:5" x14ac:dyDescent="0.2">
      <c r="A27" s="58"/>
      <c r="B27" s="47"/>
      <c r="C27" s="70"/>
      <c r="D27" s="53"/>
      <c r="E27" s="45"/>
    </row>
    <row r="28" spans="1:5" x14ac:dyDescent="0.2">
      <c r="A28" s="58"/>
      <c r="B28" s="47"/>
      <c r="C28" s="70"/>
      <c r="D28" s="53"/>
      <c r="E28" s="45"/>
    </row>
    <row r="29" spans="1:5" x14ac:dyDescent="0.2">
      <c r="A29" s="58"/>
      <c r="B29" s="47"/>
      <c r="C29" s="70"/>
      <c r="D29" s="53"/>
      <c r="E29" s="45"/>
    </row>
    <row r="30" spans="1:5" x14ac:dyDescent="0.2">
      <c r="A30" s="58"/>
      <c r="B30" s="47"/>
      <c r="C30" s="70"/>
      <c r="D30" s="53"/>
      <c r="E30" s="45"/>
    </row>
    <row r="31" spans="1:5" x14ac:dyDescent="0.2">
      <c r="A31" s="58"/>
      <c r="B31" s="47"/>
      <c r="C31" s="70"/>
      <c r="D31" s="53"/>
      <c r="E31" s="45"/>
    </row>
    <row r="32" spans="1:5" x14ac:dyDescent="0.2">
      <c r="A32" s="58"/>
      <c r="B32" s="47"/>
      <c r="C32" s="70"/>
      <c r="D32" s="53"/>
      <c r="E32" s="45"/>
    </row>
    <row r="33" spans="1:5" x14ac:dyDescent="0.2">
      <c r="A33" s="58"/>
      <c r="B33" s="47"/>
      <c r="C33" s="70"/>
      <c r="D33" s="53"/>
      <c r="E33" s="45"/>
    </row>
    <row r="34" spans="1:5" x14ac:dyDescent="0.2">
      <c r="A34" s="58"/>
      <c r="B34" s="47"/>
      <c r="C34" s="70"/>
      <c r="D34" s="53"/>
      <c r="E34" s="45"/>
    </row>
    <row r="35" spans="1:5" x14ac:dyDescent="0.2">
      <c r="A35" s="58"/>
      <c r="B35" s="47"/>
      <c r="C35" s="70"/>
      <c r="D35" s="53"/>
      <c r="E35" s="45"/>
    </row>
    <row r="36" spans="1:5" x14ac:dyDescent="0.2">
      <c r="A36" s="58"/>
      <c r="B36" s="47"/>
      <c r="C36" s="70"/>
      <c r="D36" s="53"/>
      <c r="E36" s="45"/>
    </row>
    <row r="37" spans="1:5" x14ac:dyDescent="0.2">
      <c r="A37" s="58"/>
      <c r="B37" s="47"/>
      <c r="C37" s="70"/>
      <c r="D37" s="53"/>
      <c r="E37" s="45"/>
    </row>
    <row r="38" spans="1:5" x14ac:dyDescent="0.2">
      <c r="A38" s="58"/>
      <c r="B38" s="47"/>
      <c r="C38" s="70"/>
      <c r="D38" s="53"/>
      <c r="E38" s="45"/>
    </row>
    <row r="39" spans="1:5" x14ac:dyDescent="0.2">
      <c r="A39" s="58"/>
      <c r="B39" s="47"/>
      <c r="C39" s="70"/>
      <c r="D39" s="53"/>
      <c r="E39" s="45"/>
    </row>
    <row r="40" spans="1:5" x14ac:dyDescent="0.2">
      <c r="A40" s="58"/>
      <c r="B40" s="47"/>
      <c r="C40" s="70"/>
      <c r="D40" s="53"/>
      <c r="E40" s="45"/>
    </row>
    <row r="41" spans="1:5" x14ac:dyDescent="0.2">
      <c r="A41" s="58"/>
      <c r="B41" s="47"/>
      <c r="C41" s="70"/>
      <c r="D41" s="53"/>
      <c r="E41" s="45"/>
    </row>
    <row r="42" spans="1:5" x14ac:dyDescent="0.2">
      <c r="A42" s="58"/>
      <c r="B42" s="47"/>
      <c r="C42" s="70"/>
      <c r="D42" s="53"/>
      <c r="E42" s="45"/>
    </row>
    <row r="43" spans="1:5" x14ac:dyDescent="0.2">
      <c r="A43" s="58"/>
      <c r="B43" s="47"/>
      <c r="C43" s="70"/>
      <c r="D43" s="53"/>
      <c r="E43" s="45"/>
    </row>
    <row r="44" spans="1:5" x14ac:dyDescent="0.2">
      <c r="A44" s="58"/>
      <c r="B44" s="47"/>
      <c r="C44" s="70"/>
      <c r="D44" s="53"/>
      <c r="E44" s="45"/>
    </row>
    <row r="45" spans="1:5" x14ac:dyDescent="0.2">
      <c r="A45" s="58"/>
      <c r="B45" s="47"/>
      <c r="C45" s="70"/>
      <c r="D45" s="53"/>
      <c r="E45" s="45"/>
    </row>
    <row r="46" spans="1:5" x14ac:dyDescent="0.2">
      <c r="A46" s="58"/>
      <c r="B46" s="47"/>
      <c r="C46" s="70"/>
      <c r="D46" s="53"/>
      <c r="E46" s="45"/>
    </row>
    <row r="47" spans="1:5" x14ac:dyDescent="0.2">
      <c r="A47" s="58"/>
      <c r="B47" s="47"/>
      <c r="C47" s="70"/>
      <c r="D47" s="53"/>
      <c r="E47" s="45"/>
    </row>
    <row r="48" spans="1:5" x14ac:dyDescent="0.2">
      <c r="A48" s="58"/>
      <c r="B48" s="47"/>
      <c r="C48" s="70"/>
      <c r="D48" s="53"/>
      <c r="E48" s="45"/>
    </row>
    <row r="49" spans="1:5" x14ac:dyDescent="0.2">
      <c r="A49" s="58"/>
      <c r="B49" s="47"/>
      <c r="C49" s="70"/>
      <c r="D49" s="53"/>
      <c r="E49" s="45"/>
    </row>
    <row r="50" spans="1:5" x14ac:dyDescent="0.2">
      <c r="A50" s="58"/>
      <c r="B50" s="47"/>
      <c r="C50" s="70"/>
      <c r="D50" s="53"/>
      <c r="E50" s="45"/>
    </row>
    <row r="51" spans="1:5" x14ac:dyDescent="0.2">
      <c r="A51" s="58"/>
      <c r="B51" s="47"/>
      <c r="C51" s="70"/>
      <c r="D51" s="53"/>
      <c r="E51" s="45"/>
    </row>
    <row r="52" spans="1:5" x14ac:dyDescent="0.2">
      <c r="A52" s="58"/>
      <c r="B52" s="47"/>
      <c r="C52" s="70"/>
      <c r="D52" s="53"/>
      <c r="E52" s="45"/>
    </row>
    <row r="53" spans="1:5" x14ac:dyDescent="0.2">
      <c r="A53" s="58"/>
      <c r="B53" s="47"/>
      <c r="C53" s="70"/>
      <c r="D53" s="53"/>
      <c r="E53" s="45"/>
    </row>
    <row r="54" spans="1:5" x14ac:dyDescent="0.2">
      <c r="A54" s="58"/>
      <c r="B54" s="47"/>
      <c r="C54" s="70"/>
      <c r="D54" s="53"/>
      <c r="E54" s="45"/>
    </row>
    <row r="55" spans="1:5" x14ac:dyDescent="0.2">
      <c r="A55" s="58"/>
      <c r="B55" s="47"/>
      <c r="C55" s="70"/>
      <c r="D55" s="53"/>
      <c r="E55" s="45"/>
    </row>
    <row r="56" spans="1:5" x14ac:dyDescent="0.2">
      <c r="A56" s="58"/>
      <c r="B56" s="47"/>
      <c r="C56" s="70"/>
      <c r="D56" s="53"/>
      <c r="E56" s="45"/>
    </row>
    <row r="57" spans="1:5" x14ac:dyDescent="0.2">
      <c r="A57" s="58"/>
      <c r="B57" s="47"/>
      <c r="C57" s="70"/>
      <c r="D57" s="53"/>
      <c r="E57" s="45"/>
    </row>
    <row r="58" spans="1:5" x14ac:dyDescent="0.2">
      <c r="A58" s="58"/>
      <c r="B58" s="47"/>
      <c r="C58" s="70"/>
      <c r="D58" s="53"/>
      <c r="E58" s="45"/>
    </row>
    <row r="59" spans="1:5" x14ac:dyDescent="0.2">
      <c r="A59" s="58"/>
      <c r="B59" s="47"/>
      <c r="C59" s="70"/>
      <c r="D59" s="53"/>
      <c r="E59" s="45"/>
    </row>
    <row r="60" spans="1:5" x14ac:dyDescent="0.2">
      <c r="A60" s="58"/>
      <c r="B60" s="47"/>
      <c r="C60" s="70"/>
      <c r="D60" s="53"/>
      <c r="E60" s="45"/>
    </row>
    <row r="61" spans="1:5" x14ac:dyDescent="0.2">
      <c r="A61" s="58"/>
      <c r="B61" s="47"/>
      <c r="C61" s="70"/>
      <c r="D61" s="53"/>
      <c r="E61" s="45"/>
    </row>
    <row r="62" spans="1:5" x14ac:dyDescent="0.2">
      <c r="A62" s="58"/>
      <c r="B62" s="47"/>
      <c r="C62" s="70"/>
      <c r="D62" s="53"/>
      <c r="E62" s="45"/>
    </row>
    <row r="63" spans="1:5" x14ac:dyDescent="0.2">
      <c r="A63" s="58"/>
      <c r="B63" s="47"/>
      <c r="C63" s="70"/>
      <c r="D63" s="53"/>
      <c r="E63" s="45"/>
    </row>
    <row r="64" spans="1:5" x14ac:dyDescent="0.2">
      <c r="A64" s="58"/>
      <c r="B64" s="47"/>
      <c r="C64" s="70"/>
      <c r="D64" s="53"/>
      <c r="E64" s="45"/>
    </row>
    <row r="65" spans="1:5" x14ac:dyDescent="0.2">
      <c r="A65" s="58"/>
      <c r="B65" s="47"/>
      <c r="C65" s="70"/>
      <c r="D65" s="53"/>
      <c r="E65" s="45"/>
    </row>
    <row r="66" spans="1:5" x14ac:dyDescent="0.2">
      <c r="A66" s="58"/>
      <c r="B66" s="47"/>
      <c r="C66" s="70"/>
      <c r="D66" s="53"/>
      <c r="E66" s="45"/>
    </row>
    <row r="67" spans="1:5" x14ac:dyDescent="0.2">
      <c r="A67" s="58"/>
      <c r="B67" s="47"/>
      <c r="C67" s="70"/>
      <c r="D67" s="53"/>
      <c r="E67" s="45"/>
    </row>
    <row r="68" spans="1:5" x14ac:dyDescent="0.2">
      <c r="A68" s="58"/>
      <c r="B68" s="47"/>
      <c r="C68" s="70"/>
      <c r="D68" s="53"/>
      <c r="E68" s="45"/>
    </row>
    <row r="69" spans="1:5" x14ac:dyDescent="0.2">
      <c r="A69" s="58"/>
      <c r="B69" s="47"/>
      <c r="C69" s="70"/>
      <c r="D69" s="53"/>
      <c r="E69" s="45"/>
    </row>
    <row r="70" spans="1:5" x14ac:dyDescent="0.2">
      <c r="A70" s="58"/>
      <c r="B70" s="47"/>
      <c r="C70" s="70"/>
      <c r="D70" s="53"/>
      <c r="E70" s="45"/>
    </row>
    <row r="71" spans="1:5" x14ac:dyDescent="0.2">
      <c r="A71" s="58"/>
      <c r="B71" s="47"/>
      <c r="C71" s="70"/>
      <c r="D71" s="53"/>
      <c r="E71" s="45"/>
    </row>
    <row r="72" spans="1:5" x14ac:dyDescent="0.2">
      <c r="A72" s="58"/>
      <c r="B72" s="47"/>
      <c r="C72" s="70"/>
      <c r="D72" s="53"/>
      <c r="E72" s="45"/>
    </row>
    <row r="73" spans="1:5" x14ac:dyDescent="0.2">
      <c r="A73" s="58"/>
      <c r="B73" s="47"/>
      <c r="C73" s="70"/>
      <c r="D73" s="53"/>
      <c r="E73" s="45"/>
    </row>
    <row r="74" spans="1:5" x14ac:dyDescent="0.2">
      <c r="A74" s="58"/>
      <c r="B74" s="47"/>
      <c r="C74" s="70"/>
      <c r="D74" s="53"/>
      <c r="E74" s="45"/>
    </row>
    <row r="75" spans="1:5" x14ac:dyDescent="0.2">
      <c r="A75" s="58"/>
      <c r="B75" s="47"/>
      <c r="C75" s="70"/>
      <c r="D75" s="53"/>
      <c r="E75" s="45"/>
    </row>
    <row r="76" spans="1:5" x14ac:dyDescent="0.2">
      <c r="A76" s="58"/>
      <c r="B76" s="47"/>
      <c r="C76" s="70"/>
      <c r="D76" s="53"/>
      <c r="E76" s="45"/>
    </row>
    <row r="77" spans="1:5" x14ac:dyDescent="0.2">
      <c r="A77" s="58"/>
      <c r="B77" s="47"/>
      <c r="C77" s="70"/>
      <c r="D77" s="53"/>
      <c r="E77" s="45"/>
    </row>
    <row r="78" spans="1:5" x14ac:dyDescent="0.2">
      <c r="A78" s="58"/>
      <c r="B78" s="47"/>
      <c r="C78" s="70"/>
      <c r="D78" s="53"/>
      <c r="E78" s="45"/>
    </row>
    <row r="79" spans="1:5" x14ac:dyDescent="0.2">
      <c r="A79" s="58"/>
      <c r="B79" s="47"/>
      <c r="C79" s="70"/>
      <c r="D79" s="53"/>
      <c r="E79" s="45"/>
    </row>
    <row r="80" spans="1:5" x14ac:dyDescent="0.2">
      <c r="A80" s="58"/>
      <c r="B80" s="47"/>
      <c r="C80" s="70"/>
      <c r="D80" s="53"/>
      <c r="E80" s="45"/>
    </row>
    <row r="81" spans="1:5" x14ac:dyDescent="0.2">
      <c r="A81" s="58"/>
      <c r="B81" s="47"/>
      <c r="C81" s="70"/>
      <c r="D81" s="53"/>
      <c r="E81" s="45"/>
    </row>
    <row r="82" spans="1:5" x14ac:dyDescent="0.2">
      <c r="A82" s="58"/>
      <c r="B82" s="47"/>
      <c r="C82" s="70"/>
      <c r="D82" s="53"/>
      <c r="E82" s="45"/>
    </row>
    <row r="83" spans="1:5" x14ac:dyDescent="0.2">
      <c r="A83" s="58"/>
      <c r="B83" s="47"/>
      <c r="C83" s="70"/>
      <c r="D83" s="53"/>
      <c r="E83" s="45"/>
    </row>
    <row r="84" spans="1:5" x14ac:dyDescent="0.2">
      <c r="A84" s="58"/>
      <c r="B84" s="47"/>
      <c r="C84" s="70"/>
      <c r="D84" s="53"/>
      <c r="E84" s="45"/>
    </row>
    <row r="85" spans="1:5" x14ac:dyDescent="0.2">
      <c r="A85" s="58"/>
      <c r="B85" s="47"/>
      <c r="C85" s="70"/>
      <c r="D85" s="53"/>
      <c r="E85" s="45"/>
    </row>
    <row r="86" spans="1:5" x14ac:dyDescent="0.2">
      <c r="A86" s="58"/>
      <c r="B86" s="47"/>
      <c r="C86" s="70"/>
      <c r="D86" s="53"/>
      <c r="E86" s="45"/>
    </row>
    <row r="87" spans="1:5" x14ac:dyDescent="0.2">
      <c r="A87" s="58"/>
      <c r="B87" s="47"/>
      <c r="C87" s="70"/>
      <c r="D87" s="53"/>
      <c r="E87" s="45"/>
    </row>
    <row r="88" spans="1:5" x14ac:dyDescent="0.2">
      <c r="A88" s="58"/>
      <c r="B88" s="47"/>
      <c r="C88" s="70"/>
      <c r="D88" s="53"/>
      <c r="E88" s="45"/>
    </row>
    <row r="89" spans="1:5" x14ac:dyDescent="0.2">
      <c r="A89" s="58"/>
      <c r="B89" s="47"/>
      <c r="C89" s="70"/>
      <c r="D89" s="53"/>
      <c r="E89" s="45"/>
    </row>
    <row r="90" spans="1:5" x14ac:dyDescent="0.2">
      <c r="A90" s="58"/>
      <c r="B90" s="47"/>
      <c r="C90" s="70"/>
      <c r="D90" s="53"/>
      <c r="E90" s="45"/>
    </row>
    <row r="91" spans="1:5" x14ac:dyDescent="0.2">
      <c r="A91" s="58"/>
      <c r="B91" s="47"/>
      <c r="C91" s="70"/>
      <c r="D91" s="53"/>
      <c r="E91" s="45"/>
    </row>
    <row r="92" spans="1:5" x14ac:dyDescent="0.2">
      <c r="A92" s="58"/>
      <c r="B92" s="47"/>
      <c r="C92" s="70"/>
      <c r="D92" s="53"/>
      <c r="E92" s="45"/>
    </row>
    <row r="93" spans="1:5" x14ac:dyDescent="0.2">
      <c r="A93" s="58"/>
      <c r="B93" s="47"/>
      <c r="C93" s="70"/>
      <c r="D93" s="53"/>
      <c r="E93" s="45"/>
    </row>
    <row r="94" spans="1:5" x14ac:dyDescent="0.2">
      <c r="A94" s="58"/>
      <c r="B94" s="47"/>
      <c r="C94" s="70"/>
      <c r="D94" s="53"/>
      <c r="E94" s="45"/>
    </row>
    <row r="95" spans="1:5" x14ac:dyDescent="0.2">
      <c r="A95" s="58"/>
      <c r="B95" s="47"/>
      <c r="C95" s="70"/>
      <c r="D95" s="53"/>
      <c r="E95" s="45"/>
    </row>
    <row r="96" spans="1:5" x14ac:dyDescent="0.2">
      <c r="A96" s="58"/>
      <c r="B96" s="47"/>
      <c r="C96" s="70"/>
      <c r="D96" s="53"/>
      <c r="E96" s="45"/>
    </row>
    <row r="97" spans="1:5" x14ac:dyDescent="0.2">
      <c r="A97" s="58"/>
      <c r="B97" s="47"/>
      <c r="C97" s="70"/>
      <c r="D97" s="53"/>
      <c r="E97" s="45"/>
    </row>
    <row r="98" spans="1:5" x14ac:dyDescent="0.2">
      <c r="A98" s="58"/>
      <c r="B98" s="47"/>
      <c r="C98" s="70"/>
      <c r="D98" s="53"/>
      <c r="E98" s="45"/>
    </row>
    <row r="99" spans="1:5" x14ac:dyDescent="0.2">
      <c r="A99" s="58"/>
      <c r="B99" s="47"/>
      <c r="C99" s="70"/>
      <c r="D99" s="53"/>
      <c r="E99" s="45"/>
    </row>
    <row r="100" spans="1:5" x14ac:dyDescent="0.2">
      <c r="A100" s="58"/>
      <c r="B100" s="47"/>
      <c r="C100" s="70"/>
      <c r="D100" s="53"/>
      <c r="E100" s="45"/>
    </row>
    <row r="101" spans="1:5" x14ac:dyDescent="0.2">
      <c r="A101" s="58"/>
      <c r="B101" s="47"/>
      <c r="C101" s="70"/>
      <c r="D101" s="53"/>
      <c r="E101" s="45"/>
    </row>
    <row r="102" spans="1:5" x14ac:dyDescent="0.2">
      <c r="A102" s="58"/>
      <c r="B102" s="47"/>
      <c r="C102" s="70"/>
      <c r="D102" s="53"/>
      <c r="E102" s="45"/>
    </row>
    <row r="103" spans="1:5" x14ac:dyDescent="0.2">
      <c r="A103" s="58"/>
      <c r="B103" s="47"/>
      <c r="C103" s="70"/>
      <c r="D103" s="53"/>
      <c r="E103" s="45"/>
    </row>
    <row r="104" spans="1:5" x14ac:dyDescent="0.2">
      <c r="A104" s="58"/>
      <c r="B104" s="47"/>
      <c r="C104" s="70"/>
      <c r="D104" s="53"/>
      <c r="E104" s="45"/>
    </row>
    <row r="105" spans="1:5" x14ac:dyDescent="0.2">
      <c r="A105" s="58"/>
      <c r="B105" s="47"/>
      <c r="C105" s="70"/>
      <c r="D105" s="53"/>
      <c r="E105" s="45"/>
    </row>
    <row r="106" spans="1:5" x14ac:dyDescent="0.2">
      <c r="A106" s="58"/>
      <c r="B106" s="47"/>
      <c r="C106" s="70"/>
      <c r="D106" s="53"/>
      <c r="E106" s="45"/>
    </row>
    <row r="107" spans="1:5" x14ac:dyDescent="0.2">
      <c r="A107" s="58"/>
      <c r="B107" s="47"/>
      <c r="C107" s="70"/>
      <c r="D107" s="53"/>
      <c r="E107" s="45"/>
    </row>
    <row r="108" spans="1:5" x14ac:dyDescent="0.2">
      <c r="A108" s="58"/>
      <c r="B108" s="47"/>
      <c r="C108" s="70"/>
      <c r="D108" s="53"/>
      <c r="E108" s="45"/>
    </row>
    <row r="109" spans="1:5" x14ac:dyDescent="0.2">
      <c r="A109" s="58"/>
      <c r="B109" s="47"/>
      <c r="C109" s="70"/>
      <c r="D109" s="53"/>
      <c r="E109" s="45"/>
    </row>
    <row r="110" spans="1:5" x14ac:dyDescent="0.2">
      <c r="A110" s="58"/>
      <c r="B110" s="47"/>
      <c r="C110" s="70"/>
      <c r="D110" s="53"/>
      <c r="E110" s="45"/>
    </row>
    <row r="111" spans="1:5" x14ac:dyDescent="0.2">
      <c r="A111" s="58"/>
      <c r="B111" s="47"/>
      <c r="C111" s="70"/>
      <c r="D111" s="53"/>
      <c r="E111" s="45"/>
    </row>
    <row r="112" spans="1:5" x14ac:dyDescent="0.2">
      <c r="A112" s="58"/>
      <c r="B112" s="47"/>
      <c r="C112" s="70"/>
      <c r="D112" s="53"/>
      <c r="E112" s="45"/>
    </row>
    <row r="113" spans="1:5" x14ac:dyDescent="0.2">
      <c r="A113" s="58"/>
      <c r="B113" s="47"/>
      <c r="C113" s="70"/>
      <c r="D113" s="53"/>
      <c r="E113" s="45"/>
    </row>
    <row r="114" spans="1:5" x14ac:dyDescent="0.2">
      <c r="A114" s="58"/>
      <c r="B114" s="47"/>
      <c r="C114" s="70"/>
      <c r="D114" s="53"/>
      <c r="E114" s="45"/>
    </row>
    <row r="115" spans="1:5" x14ac:dyDescent="0.2">
      <c r="A115" s="58"/>
      <c r="B115" s="47"/>
      <c r="C115" s="70"/>
      <c r="D115" s="53"/>
      <c r="E115" s="45"/>
    </row>
    <row r="116" spans="1:5" x14ac:dyDescent="0.2">
      <c r="A116" s="58"/>
      <c r="B116" s="47"/>
      <c r="C116" s="70"/>
      <c r="D116" s="53"/>
      <c r="E116" s="45"/>
    </row>
    <row r="117" spans="1:5" x14ac:dyDescent="0.2">
      <c r="A117" s="58"/>
      <c r="B117" s="47"/>
      <c r="C117" s="70"/>
      <c r="D117" s="53"/>
      <c r="E117" s="45"/>
    </row>
    <row r="118" spans="1:5" x14ac:dyDescent="0.2">
      <c r="A118" s="58"/>
      <c r="B118" s="47"/>
      <c r="C118" s="70"/>
      <c r="D118" s="53"/>
      <c r="E118" s="45"/>
    </row>
    <row r="119" spans="1:5" x14ac:dyDescent="0.2">
      <c r="A119" s="58"/>
      <c r="B119" s="47"/>
      <c r="C119" s="70"/>
      <c r="D119" s="53"/>
      <c r="E119" s="45"/>
    </row>
    <row r="120" spans="1:5" x14ac:dyDescent="0.2">
      <c r="A120" s="58"/>
      <c r="B120" s="47"/>
      <c r="C120" s="70"/>
      <c r="D120" s="53"/>
      <c r="E120" s="45"/>
    </row>
    <row r="121" spans="1:5" x14ac:dyDescent="0.2">
      <c r="A121" s="58"/>
      <c r="B121" s="47"/>
      <c r="C121" s="70"/>
      <c r="D121" s="53"/>
      <c r="E121" s="45"/>
    </row>
    <row r="122" spans="1:5" x14ac:dyDescent="0.2">
      <c r="A122" s="58"/>
      <c r="B122" s="47"/>
      <c r="C122" s="70"/>
      <c r="D122" s="53"/>
      <c r="E122" s="45"/>
    </row>
    <row r="123" spans="1:5" x14ac:dyDescent="0.2">
      <c r="A123" s="58"/>
      <c r="B123" s="47"/>
      <c r="C123" s="70"/>
      <c r="D123" s="53"/>
      <c r="E123" s="45"/>
    </row>
    <row r="124" spans="1:5" x14ac:dyDescent="0.2">
      <c r="A124" s="58"/>
      <c r="B124" s="47"/>
      <c r="C124" s="70"/>
      <c r="D124" s="53"/>
      <c r="E124" s="45"/>
    </row>
    <row r="125" spans="1:5" x14ac:dyDescent="0.2">
      <c r="A125" s="58"/>
      <c r="B125" s="47"/>
      <c r="C125" s="70"/>
      <c r="D125" s="53"/>
      <c r="E125" s="45"/>
    </row>
    <row r="126" spans="1:5" x14ac:dyDescent="0.2">
      <c r="A126" s="58"/>
      <c r="B126" s="47"/>
      <c r="C126" s="70"/>
      <c r="D126" s="53"/>
      <c r="E126" s="45"/>
    </row>
    <row r="127" spans="1:5" x14ac:dyDescent="0.2">
      <c r="A127" s="58"/>
      <c r="B127" s="47"/>
      <c r="C127" s="70"/>
      <c r="D127" s="53"/>
      <c r="E127" s="45"/>
    </row>
    <row r="128" spans="1:5" x14ac:dyDescent="0.2">
      <c r="A128" s="58"/>
      <c r="B128" s="47"/>
      <c r="C128" s="70"/>
      <c r="D128" s="53"/>
      <c r="E128" s="45"/>
    </row>
    <row r="129" spans="1:5" x14ac:dyDescent="0.2">
      <c r="A129" s="58"/>
      <c r="B129" s="47"/>
      <c r="C129" s="70"/>
      <c r="D129" s="53"/>
      <c r="E129" s="45"/>
    </row>
    <row r="130" spans="1:5" x14ac:dyDescent="0.2">
      <c r="A130" s="58"/>
      <c r="B130" s="47"/>
      <c r="C130" s="70"/>
      <c r="D130" s="53"/>
      <c r="E130" s="45"/>
    </row>
    <row r="131" spans="1:5" x14ac:dyDescent="0.2">
      <c r="A131" s="58"/>
      <c r="B131" s="47"/>
      <c r="C131" s="70"/>
      <c r="D131" s="53"/>
      <c r="E131" s="45"/>
    </row>
    <row r="132" spans="1:5" x14ac:dyDescent="0.2">
      <c r="A132" s="58"/>
      <c r="B132" s="47"/>
      <c r="C132" s="70"/>
      <c r="D132" s="53"/>
      <c r="E132" s="45"/>
    </row>
    <row r="133" spans="1:5" x14ac:dyDescent="0.2">
      <c r="A133" s="58"/>
      <c r="B133" s="47"/>
      <c r="C133" s="70"/>
      <c r="D133" s="53"/>
      <c r="E133" s="45"/>
    </row>
    <row r="134" spans="1:5" x14ac:dyDescent="0.2">
      <c r="A134" s="58"/>
      <c r="B134" s="47"/>
      <c r="C134" s="70"/>
      <c r="D134" s="53"/>
      <c r="E134" s="45"/>
    </row>
    <row r="135" spans="1:5" x14ac:dyDescent="0.2">
      <c r="A135" s="58"/>
      <c r="B135" s="47"/>
      <c r="C135" s="70"/>
      <c r="D135" s="53"/>
      <c r="E135" s="45"/>
    </row>
    <row r="136" spans="1:5" x14ac:dyDescent="0.2">
      <c r="A136" s="58"/>
      <c r="B136" s="47"/>
      <c r="C136" s="70"/>
      <c r="D136" s="53"/>
      <c r="E136" s="45"/>
    </row>
    <row r="137" spans="1:5" x14ac:dyDescent="0.2">
      <c r="A137" s="58"/>
      <c r="B137" s="47"/>
      <c r="C137" s="70"/>
      <c r="D137" s="53"/>
      <c r="E137" s="45"/>
    </row>
    <row r="138" spans="1:5" x14ac:dyDescent="0.2">
      <c r="A138" s="58"/>
      <c r="B138" s="47"/>
      <c r="C138" s="70"/>
      <c r="D138" s="53"/>
      <c r="E138" s="45"/>
    </row>
    <row r="139" spans="1:5" x14ac:dyDescent="0.2">
      <c r="A139" s="58"/>
      <c r="B139" s="47"/>
      <c r="C139" s="70"/>
      <c r="D139" s="53"/>
      <c r="E139" s="45"/>
    </row>
    <row r="140" spans="1:5" x14ac:dyDescent="0.2">
      <c r="A140" s="58"/>
      <c r="B140" s="47"/>
      <c r="C140" s="70"/>
      <c r="D140" s="53"/>
      <c r="E140" s="45"/>
    </row>
    <row r="141" spans="1:5" x14ac:dyDescent="0.2">
      <c r="A141" s="58"/>
      <c r="B141" s="47"/>
      <c r="C141" s="70"/>
      <c r="D141" s="53"/>
      <c r="E141" s="45"/>
    </row>
    <row r="142" spans="1:5" x14ac:dyDescent="0.2">
      <c r="A142" s="58"/>
      <c r="B142" s="47"/>
      <c r="C142" s="70"/>
      <c r="D142" s="53"/>
      <c r="E142" s="45"/>
    </row>
    <row r="143" spans="1:5" x14ac:dyDescent="0.2">
      <c r="A143" s="58"/>
      <c r="B143" s="47"/>
      <c r="C143" s="70"/>
      <c r="D143" s="53"/>
      <c r="E143" s="45"/>
    </row>
    <row r="144" spans="1:5" x14ac:dyDescent="0.2">
      <c r="A144" s="58"/>
      <c r="B144" s="47"/>
      <c r="C144" s="70"/>
      <c r="D144" s="53"/>
      <c r="E144" s="45"/>
    </row>
    <row r="145" spans="1:5" x14ac:dyDescent="0.2">
      <c r="A145" s="58"/>
      <c r="B145" s="47"/>
      <c r="C145" s="70"/>
      <c r="D145" s="53"/>
      <c r="E145" s="45"/>
    </row>
    <row r="146" spans="1:5" x14ac:dyDescent="0.2">
      <c r="A146" s="58"/>
      <c r="B146" s="47"/>
      <c r="C146" s="70"/>
      <c r="D146" s="53"/>
      <c r="E146" s="45"/>
    </row>
    <row r="147" spans="1:5" x14ac:dyDescent="0.2">
      <c r="A147" s="58"/>
      <c r="B147" s="47"/>
      <c r="C147" s="70"/>
      <c r="D147" s="53"/>
      <c r="E147" s="45"/>
    </row>
    <row r="148" spans="1:5" x14ac:dyDescent="0.2">
      <c r="A148" s="58"/>
      <c r="B148" s="47"/>
      <c r="C148" s="70"/>
      <c r="D148" s="53"/>
      <c r="E148" s="45"/>
    </row>
    <row r="149" spans="1:5" x14ac:dyDescent="0.2">
      <c r="A149" s="58"/>
      <c r="B149" s="47"/>
      <c r="C149" s="70"/>
      <c r="D149" s="53"/>
      <c r="E149" s="45"/>
    </row>
    <row r="150" spans="1:5" x14ac:dyDescent="0.2">
      <c r="A150" s="58"/>
      <c r="B150" s="47"/>
      <c r="C150" s="70"/>
      <c r="D150" s="53"/>
      <c r="E150" s="45"/>
    </row>
    <row r="151" spans="1:5" x14ac:dyDescent="0.2">
      <c r="A151" s="58"/>
      <c r="B151" s="47"/>
      <c r="C151" s="70"/>
      <c r="D151" s="53"/>
      <c r="E151" s="45"/>
    </row>
    <row r="152" spans="1:5" x14ac:dyDescent="0.2">
      <c r="A152" s="58"/>
      <c r="B152" s="47"/>
      <c r="C152" s="70"/>
      <c r="D152" s="53"/>
      <c r="E152" s="45"/>
    </row>
    <row r="153" spans="1:5" x14ac:dyDescent="0.2">
      <c r="A153" s="58"/>
      <c r="B153" s="47"/>
      <c r="C153" s="70"/>
      <c r="D153" s="53"/>
      <c r="E153" s="45"/>
    </row>
    <row r="154" spans="1:5" x14ac:dyDescent="0.2">
      <c r="A154" s="58"/>
      <c r="B154" s="47"/>
      <c r="C154" s="70"/>
      <c r="D154" s="53"/>
      <c r="E154" s="45"/>
    </row>
    <row r="155" spans="1:5" x14ac:dyDescent="0.2">
      <c r="A155" s="58"/>
      <c r="B155" s="47"/>
      <c r="C155" s="70"/>
      <c r="D155" s="53"/>
      <c r="E155" s="45"/>
    </row>
    <row r="156" spans="1:5" x14ac:dyDescent="0.2">
      <c r="A156" s="58"/>
      <c r="B156" s="47"/>
      <c r="C156" s="70"/>
      <c r="D156" s="53"/>
      <c r="E156" s="45"/>
    </row>
    <row r="157" spans="1:5" x14ac:dyDescent="0.2">
      <c r="A157" s="58"/>
      <c r="B157" s="47"/>
      <c r="C157" s="70"/>
      <c r="D157" s="53"/>
      <c r="E157" s="45"/>
    </row>
    <row r="158" spans="1:5" x14ac:dyDescent="0.2">
      <c r="A158" s="58"/>
      <c r="B158" s="47"/>
      <c r="C158" s="70"/>
      <c r="D158" s="53"/>
      <c r="E158" s="45"/>
    </row>
    <row r="159" spans="1:5" x14ac:dyDescent="0.2">
      <c r="A159" s="58"/>
      <c r="B159" s="47"/>
      <c r="C159" s="70"/>
      <c r="D159" s="53"/>
      <c r="E159" s="45"/>
    </row>
    <row r="160" spans="1:5" x14ac:dyDescent="0.2">
      <c r="A160" s="58"/>
      <c r="B160" s="47"/>
      <c r="C160" s="70"/>
      <c r="D160" s="53"/>
      <c r="E160" s="45"/>
    </row>
    <row r="161" spans="1:5" x14ac:dyDescent="0.2">
      <c r="A161" s="58"/>
      <c r="B161" s="47"/>
      <c r="C161" s="70"/>
      <c r="D161" s="53"/>
      <c r="E161" s="45"/>
    </row>
    <row r="162" spans="1:5" x14ac:dyDescent="0.2">
      <c r="A162" s="58"/>
      <c r="B162" s="47"/>
      <c r="C162" s="70"/>
      <c r="D162" s="53"/>
      <c r="E162" s="45"/>
    </row>
    <row r="163" spans="1:5" x14ac:dyDescent="0.2">
      <c r="A163" s="58"/>
      <c r="B163" s="47"/>
      <c r="C163" s="70"/>
      <c r="D163" s="53"/>
      <c r="E163" s="45"/>
    </row>
    <row r="164" spans="1:5" x14ac:dyDescent="0.2">
      <c r="A164" s="58"/>
      <c r="B164" s="47"/>
      <c r="C164" s="70"/>
      <c r="D164" s="53"/>
      <c r="E164" s="45"/>
    </row>
    <row r="165" spans="1:5" x14ac:dyDescent="0.2">
      <c r="A165" s="58"/>
      <c r="B165" s="47"/>
      <c r="C165" s="70"/>
      <c r="D165" s="53"/>
      <c r="E165" s="45"/>
    </row>
    <row r="166" spans="1:5" x14ac:dyDescent="0.2">
      <c r="A166" s="58"/>
      <c r="B166" s="47"/>
      <c r="C166" s="70"/>
      <c r="D166" s="53"/>
      <c r="E166" s="45"/>
    </row>
    <row r="167" spans="1:5" x14ac:dyDescent="0.2">
      <c r="A167" s="58"/>
      <c r="B167" s="47"/>
      <c r="C167" s="70"/>
      <c r="D167" s="53"/>
      <c r="E167" s="45"/>
    </row>
    <row r="168" spans="1:5" x14ac:dyDescent="0.2">
      <c r="A168" s="58"/>
      <c r="B168" s="47"/>
      <c r="C168" s="70"/>
      <c r="D168" s="53"/>
      <c r="E168" s="45"/>
    </row>
    <row r="169" spans="1:5" x14ac:dyDescent="0.2">
      <c r="A169" s="58"/>
      <c r="B169" s="47"/>
      <c r="C169" s="70"/>
      <c r="D169" s="53"/>
      <c r="E169" s="45"/>
    </row>
    <row r="170" spans="1:5" x14ac:dyDescent="0.2">
      <c r="A170" s="58"/>
      <c r="B170" s="47"/>
      <c r="C170" s="70"/>
      <c r="D170" s="53"/>
      <c r="E170" s="45"/>
    </row>
    <row r="171" spans="1:5" x14ac:dyDescent="0.2">
      <c r="A171" s="58"/>
      <c r="B171" s="47"/>
      <c r="C171" s="70"/>
      <c r="D171" s="53"/>
      <c r="E171" s="45"/>
    </row>
    <row r="172" spans="1:5" x14ac:dyDescent="0.2">
      <c r="A172" s="58"/>
      <c r="B172" s="47"/>
      <c r="C172" s="70"/>
      <c r="D172" s="53"/>
      <c r="E172" s="45"/>
    </row>
    <row r="173" spans="1:5" x14ac:dyDescent="0.2">
      <c r="A173" s="58"/>
      <c r="B173" s="47"/>
      <c r="C173" s="70"/>
      <c r="D173" s="53"/>
      <c r="E173" s="45"/>
    </row>
    <row r="174" spans="1:5" x14ac:dyDescent="0.2">
      <c r="A174" s="58"/>
      <c r="B174" s="47"/>
      <c r="C174" s="70"/>
      <c r="D174" s="53"/>
      <c r="E174" s="45"/>
    </row>
    <row r="175" spans="1:5" x14ac:dyDescent="0.2">
      <c r="A175" s="58"/>
      <c r="B175" s="47"/>
      <c r="C175" s="70"/>
      <c r="D175" s="53"/>
      <c r="E175" s="45"/>
    </row>
    <row r="176" spans="1:5" x14ac:dyDescent="0.2">
      <c r="A176" s="58"/>
      <c r="B176" s="47"/>
      <c r="C176" s="70"/>
      <c r="D176" s="53"/>
      <c r="E176" s="45"/>
    </row>
    <row r="177" spans="1:5" x14ac:dyDescent="0.2">
      <c r="A177" s="58"/>
      <c r="B177" s="47"/>
      <c r="C177" s="70"/>
      <c r="D177" s="53"/>
      <c r="E177" s="45"/>
    </row>
    <row r="178" spans="1:5" x14ac:dyDescent="0.2">
      <c r="A178" s="58"/>
      <c r="B178" s="47"/>
      <c r="C178" s="70"/>
      <c r="D178" s="53"/>
      <c r="E178" s="45"/>
    </row>
    <row r="179" spans="1:5" x14ac:dyDescent="0.2">
      <c r="A179" s="58"/>
      <c r="B179" s="47"/>
      <c r="C179" s="70"/>
      <c r="D179" s="53"/>
      <c r="E179" s="45"/>
    </row>
    <row r="180" spans="1:5" x14ac:dyDescent="0.2">
      <c r="A180" s="58"/>
      <c r="B180" s="47"/>
      <c r="C180" s="70"/>
      <c r="D180" s="53"/>
      <c r="E180" s="45"/>
    </row>
    <row r="181" spans="1:5" x14ac:dyDescent="0.2">
      <c r="A181" s="58"/>
      <c r="B181" s="47"/>
      <c r="C181" s="70"/>
      <c r="D181" s="53"/>
      <c r="E181" s="45"/>
    </row>
    <row r="182" spans="1:5" x14ac:dyDescent="0.2">
      <c r="A182" s="58"/>
      <c r="B182" s="47"/>
      <c r="C182" s="70"/>
      <c r="D182" s="53"/>
      <c r="E182" s="45"/>
    </row>
    <row r="183" spans="1:5" x14ac:dyDescent="0.2">
      <c r="A183" s="58"/>
      <c r="B183" s="47"/>
      <c r="C183" s="70"/>
      <c r="D183" s="53"/>
      <c r="E183" s="45"/>
    </row>
    <row r="184" spans="1:5" x14ac:dyDescent="0.2">
      <c r="A184" s="58"/>
      <c r="B184" s="47"/>
      <c r="C184" s="70"/>
      <c r="D184" s="53"/>
      <c r="E184" s="45"/>
    </row>
    <row r="185" spans="1:5" x14ac:dyDescent="0.2">
      <c r="A185" s="58"/>
      <c r="B185" s="47"/>
      <c r="C185" s="70"/>
      <c r="D185" s="53"/>
      <c r="E185" s="45"/>
    </row>
    <row r="186" spans="1:5" x14ac:dyDescent="0.2">
      <c r="A186" s="58"/>
      <c r="B186" s="47"/>
      <c r="C186" s="70"/>
      <c r="D186" s="53"/>
      <c r="E186" s="45"/>
    </row>
    <row r="187" spans="1:5" x14ac:dyDescent="0.2">
      <c r="A187" s="58"/>
      <c r="B187" s="47"/>
      <c r="C187" s="70"/>
      <c r="D187" s="53"/>
      <c r="E187" s="45"/>
    </row>
    <row r="188" spans="1:5" x14ac:dyDescent="0.2">
      <c r="A188" s="58"/>
      <c r="B188" s="47"/>
      <c r="C188" s="70"/>
      <c r="D188" s="53"/>
      <c r="E188" s="45"/>
    </row>
    <row r="189" spans="1:5" x14ac:dyDescent="0.2">
      <c r="A189" s="58"/>
      <c r="B189" s="47"/>
      <c r="C189" s="70"/>
      <c r="D189" s="53"/>
      <c r="E189" s="45"/>
    </row>
    <row r="190" spans="1:5" x14ac:dyDescent="0.2">
      <c r="A190" s="58"/>
      <c r="B190" s="47"/>
      <c r="C190" s="70"/>
      <c r="D190" s="53"/>
      <c r="E190" s="45"/>
    </row>
    <row r="191" spans="1:5" x14ac:dyDescent="0.2">
      <c r="A191" s="58"/>
      <c r="B191" s="47"/>
      <c r="C191" s="70"/>
      <c r="D191" s="53"/>
      <c r="E191" s="45"/>
    </row>
    <row r="192" spans="1:5" x14ac:dyDescent="0.2">
      <c r="A192" s="58"/>
      <c r="B192" s="47"/>
      <c r="C192" s="70"/>
      <c r="D192" s="53"/>
      <c r="E192" s="45"/>
    </row>
    <row r="193" spans="1:5" x14ac:dyDescent="0.2">
      <c r="A193" s="58"/>
      <c r="B193" s="47"/>
      <c r="C193" s="70"/>
      <c r="D193" s="53"/>
      <c r="E193" s="45"/>
    </row>
    <row r="194" spans="1:5" x14ac:dyDescent="0.2">
      <c r="A194" s="58"/>
      <c r="B194" s="47"/>
      <c r="C194" s="70"/>
      <c r="D194" s="53"/>
      <c r="E194" s="45"/>
    </row>
    <row r="195" spans="1:5" x14ac:dyDescent="0.2">
      <c r="A195" s="58"/>
      <c r="B195" s="47"/>
      <c r="C195" s="70"/>
      <c r="D195" s="53"/>
      <c r="E195" s="45"/>
    </row>
    <row r="196" spans="1:5" x14ac:dyDescent="0.2">
      <c r="A196" s="58"/>
      <c r="B196" s="47"/>
      <c r="C196" s="70"/>
      <c r="D196" s="53"/>
      <c r="E196" s="45"/>
    </row>
    <row r="197" spans="1:5" x14ac:dyDescent="0.2">
      <c r="A197" s="58"/>
      <c r="B197" s="47"/>
      <c r="C197" s="70"/>
      <c r="D197" s="53"/>
      <c r="E197" s="45"/>
    </row>
    <row r="198" spans="1:5" x14ac:dyDescent="0.2">
      <c r="A198" s="58"/>
      <c r="B198" s="47"/>
      <c r="C198" s="70"/>
      <c r="D198" s="53"/>
      <c r="E198" s="45"/>
    </row>
    <row r="199" spans="1:5" x14ac:dyDescent="0.2">
      <c r="A199" s="58"/>
      <c r="B199" s="47"/>
      <c r="C199" s="70"/>
      <c r="D199" s="53"/>
      <c r="E199" s="45"/>
    </row>
    <row r="200" spans="1:5" x14ac:dyDescent="0.2">
      <c r="A200" s="58"/>
      <c r="B200" s="47"/>
      <c r="C200" s="70"/>
      <c r="D200" s="53"/>
      <c r="E200" s="45"/>
    </row>
    <row r="201" spans="1:5" x14ac:dyDescent="0.2">
      <c r="A201" s="58"/>
      <c r="B201" s="47"/>
      <c r="C201" s="70"/>
      <c r="D201" s="53"/>
      <c r="E201" s="45"/>
    </row>
    <row r="202" spans="1:5" x14ac:dyDescent="0.2">
      <c r="A202" s="58"/>
      <c r="B202" s="47"/>
      <c r="C202" s="70"/>
      <c r="D202" s="53"/>
      <c r="E202" s="45"/>
    </row>
    <row r="203" spans="1:5" x14ac:dyDescent="0.2">
      <c r="A203" s="58"/>
      <c r="B203" s="47"/>
      <c r="C203" s="70"/>
      <c r="D203" s="53"/>
      <c r="E203" s="45"/>
    </row>
    <row r="204" spans="1:5" x14ac:dyDescent="0.2">
      <c r="A204" s="58"/>
      <c r="B204" s="47"/>
      <c r="C204" s="70"/>
      <c r="D204" s="53"/>
      <c r="E204" s="45"/>
    </row>
    <row r="205" spans="1:5" x14ac:dyDescent="0.2">
      <c r="A205" s="58"/>
      <c r="B205" s="47"/>
      <c r="C205" s="70"/>
      <c r="D205" s="53"/>
      <c r="E205" s="45"/>
    </row>
    <row r="206" spans="1:5" x14ac:dyDescent="0.2">
      <c r="A206" s="58"/>
      <c r="B206" s="47"/>
      <c r="C206" s="70"/>
      <c r="D206" s="53"/>
      <c r="E206" s="45"/>
    </row>
    <row r="207" spans="1:5" x14ac:dyDescent="0.2">
      <c r="A207" s="58"/>
      <c r="B207" s="47"/>
      <c r="C207" s="70"/>
      <c r="D207" s="53"/>
      <c r="E207" s="45"/>
    </row>
    <row r="208" spans="1:5" x14ac:dyDescent="0.2">
      <c r="A208" s="58"/>
      <c r="B208" s="47"/>
      <c r="C208" s="70"/>
      <c r="D208" s="53"/>
      <c r="E208" s="45"/>
    </row>
    <row r="209" spans="1:5" x14ac:dyDescent="0.2">
      <c r="A209" s="58"/>
      <c r="B209" s="47"/>
      <c r="C209" s="70"/>
      <c r="D209" s="53"/>
      <c r="E209" s="45"/>
    </row>
    <row r="210" spans="1:5" x14ac:dyDescent="0.2">
      <c r="A210" s="58"/>
      <c r="B210" s="47"/>
      <c r="C210" s="70"/>
      <c r="D210" s="53"/>
      <c r="E210" s="45"/>
    </row>
    <row r="211" spans="1:5" x14ac:dyDescent="0.2">
      <c r="A211" s="58"/>
      <c r="B211" s="47"/>
      <c r="C211" s="70"/>
      <c r="D211" s="53"/>
      <c r="E211" s="45"/>
    </row>
    <row r="212" spans="1:5" x14ac:dyDescent="0.2">
      <c r="A212" s="58"/>
      <c r="B212" s="47"/>
      <c r="C212" s="70"/>
      <c r="D212" s="53"/>
      <c r="E212" s="45"/>
    </row>
    <row r="213" spans="1:5" x14ac:dyDescent="0.2">
      <c r="A213" s="58"/>
      <c r="B213" s="47"/>
      <c r="C213" s="70"/>
      <c r="D213" s="53"/>
      <c r="E213" s="45"/>
    </row>
    <row r="214" spans="1:5" x14ac:dyDescent="0.2">
      <c r="A214" s="58"/>
      <c r="B214" s="47"/>
      <c r="C214" s="70"/>
      <c r="D214" s="53"/>
      <c r="E214" s="45"/>
    </row>
    <row r="215" spans="1:5" x14ac:dyDescent="0.2">
      <c r="A215" s="58"/>
      <c r="B215" s="47"/>
      <c r="C215" s="70"/>
      <c r="D215" s="53"/>
      <c r="E215" s="45"/>
    </row>
    <row r="216" spans="1:5" x14ac:dyDescent="0.2">
      <c r="A216" s="58"/>
      <c r="B216" s="47"/>
      <c r="C216" s="70"/>
      <c r="D216" s="53"/>
      <c r="E216" s="45"/>
    </row>
    <row r="217" spans="1:5" x14ac:dyDescent="0.2">
      <c r="A217" s="58"/>
      <c r="B217" s="47"/>
      <c r="C217" s="70"/>
      <c r="D217" s="53"/>
      <c r="E217" s="45"/>
    </row>
    <row r="218" spans="1:5" x14ac:dyDescent="0.2">
      <c r="A218" s="58"/>
      <c r="B218" s="47"/>
      <c r="C218" s="70"/>
      <c r="D218" s="53"/>
      <c r="E218" s="45"/>
    </row>
    <row r="219" spans="1:5" x14ac:dyDescent="0.2">
      <c r="A219" s="58"/>
      <c r="B219" s="47"/>
      <c r="C219" s="70"/>
      <c r="D219" s="53"/>
      <c r="E219" s="45"/>
    </row>
    <row r="220" spans="1:5" x14ac:dyDescent="0.2">
      <c r="A220" s="58"/>
      <c r="B220" s="47"/>
      <c r="C220" s="70"/>
      <c r="D220" s="53"/>
      <c r="E220" s="45"/>
    </row>
    <row r="221" spans="1:5" x14ac:dyDescent="0.2">
      <c r="A221" s="58"/>
      <c r="B221" s="47"/>
      <c r="C221" s="70"/>
      <c r="D221" s="53"/>
      <c r="E221" s="45"/>
    </row>
    <row r="222" spans="1:5" x14ac:dyDescent="0.2">
      <c r="A222" s="58"/>
      <c r="B222" s="47"/>
      <c r="C222" s="70"/>
      <c r="D222" s="53"/>
      <c r="E222" s="45"/>
    </row>
    <row r="223" spans="1:5" x14ac:dyDescent="0.2">
      <c r="A223" s="58"/>
      <c r="B223" s="47"/>
      <c r="C223" s="70"/>
      <c r="D223" s="53"/>
      <c r="E223" s="45"/>
    </row>
    <row r="224" spans="1:5" x14ac:dyDescent="0.2">
      <c r="A224" s="58"/>
      <c r="B224" s="47"/>
      <c r="C224" s="70"/>
      <c r="D224" s="53"/>
      <c r="E224" s="45"/>
    </row>
    <row r="225" spans="1:5" x14ac:dyDescent="0.2">
      <c r="A225" s="58"/>
      <c r="B225" s="47"/>
      <c r="C225" s="70"/>
      <c r="D225" s="53"/>
      <c r="E225" s="45"/>
    </row>
    <row r="226" spans="1:5" x14ac:dyDescent="0.2">
      <c r="A226" s="58"/>
      <c r="B226" s="47"/>
      <c r="C226" s="70"/>
      <c r="D226" s="53"/>
      <c r="E226" s="45"/>
    </row>
    <row r="227" spans="1:5" x14ac:dyDescent="0.2">
      <c r="A227" s="58"/>
      <c r="B227" s="47"/>
      <c r="C227" s="70"/>
      <c r="D227" s="53"/>
      <c r="E227" s="45"/>
    </row>
    <row r="228" spans="1:5" x14ac:dyDescent="0.2">
      <c r="A228" s="58"/>
      <c r="B228" s="47"/>
      <c r="C228" s="70"/>
      <c r="D228" s="53"/>
      <c r="E228" s="45"/>
    </row>
    <row r="229" spans="1:5" x14ac:dyDescent="0.2">
      <c r="A229" s="58"/>
      <c r="B229" s="47"/>
      <c r="C229" s="70"/>
      <c r="D229" s="53"/>
      <c r="E229" s="45"/>
    </row>
    <row r="230" spans="1:5" x14ac:dyDescent="0.2">
      <c r="A230" s="58"/>
      <c r="B230" s="47"/>
      <c r="C230" s="70"/>
      <c r="D230" s="53"/>
      <c r="E230" s="45"/>
    </row>
    <row r="231" spans="1:5" x14ac:dyDescent="0.2">
      <c r="A231" s="58"/>
      <c r="B231" s="47"/>
      <c r="C231" s="70"/>
      <c r="D231" s="53"/>
      <c r="E231" s="45"/>
    </row>
    <row r="232" spans="1:5" x14ac:dyDescent="0.2">
      <c r="A232" s="58"/>
      <c r="B232" s="47"/>
      <c r="C232" s="70"/>
      <c r="D232" s="53"/>
      <c r="E232" s="45"/>
    </row>
    <row r="233" spans="1:5" x14ac:dyDescent="0.2">
      <c r="A233" s="58"/>
      <c r="B233" s="47"/>
      <c r="C233" s="70"/>
      <c r="D233" s="53"/>
      <c r="E233" s="45"/>
    </row>
    <row r="234" spans="1:5" x14ac:dyDescent="0.2">
      <c r="A234" s="58"/>
      <c r="B234" s="47"/>
      <c r="C234" s="70"/>
      <c r="D234" s="53"/>
      <c r="E234" s="45"/>
    </row>
    <row r="235" spans="1:5" x14ac:dyDescent="0.2">
      <c r="A235" s="58"/>
      <c r="B235" s="47"/>
      <c r="C235" s="70"/>
      <c r="D235" s="53"/>
      <c r="E235" s="45"/>
    </row>
    <row r="236" spans="1:5" x14ac:dyDescent="0.2">
      <c r="A236" s="58"/>
      <c r="B236" s="47"/>
      <c r="C236" s="70"/>
      <c r="D236" s="53"/>
      <c r="E236" s="45"/>
    </row>
    <row r="237" spans="1:5" x14ac:dyDescent="0.2">
      <c r="A237" s="58"/>
      <c r="B237" s="47"/>
      <c r="C237" s="70"/>
      <c r="D237" s="53"/>
      <c r="E237" s="45"/>
    </row>
    <row r="238" spans="1:5" x14ac:dyDescent="0.2">
      <c r="A238" s="58"/>
      <c r="B238" s="47"/>
      <c r="C238" s="70"/>
      <c r="D238" s="53"/>
      <c r="E238" s="45"/>
    </row>
    <row r="239" spans="1:5" x14ac:dyDescent="0.2">
      <c r="A239" s="58"/>
      <c r="B239" s="47"/>
      <c r="C239" s="70"/>
      <c r="D239" s="53"/>
      <c r="E239" s="45"/>
    </row>
    <row r="240" spans="1:5" x14ac:dyDescent="0.2">
      <c r="A240" s="58"/>
      <c r="B240" s="47"/>
      <c r="C240" s="70"/>
      <c r="D240" s="53"/>
      <c r="E240" s="45"/>
    </row>
    <row r="241" spans="1:5" x14ac:dyDescent="0.2">
      <c r="A241" s="58"/>
      <c r="B241" s="47"/>
      <c r="C241" s="70"/>
      <c r="D241" s="53"/>
      <c r="E241" s="45"/>
    </row>
    <row r="242" spans="1:5" x14ac:dyDescent="0.2">
      <c r="A242" s="58"/>
      <c r="B242" s="47"/>
      <c r="C242" s="70"/>
      <c r="D242" s="53"/>
      <c r="E242" s="45"/>
    </row>
    <row r="243" spans="1:5" x14ac:dyDescent="0.2">
      <c r="A243" s="58"/>
      <c r="B243" s="47"/>
      <c r="C243" s="70"/>
      <c r="D243" s="53"/>
      <c r="E243" s="45"/>
    </row>
    <row r="244" spans="1:5" x14ac:dyDescent="0.2">
      <c r="A244" s="58"/>
      <c r="B244" s="47"/>
      <c r="C244" s="70"/>
      <c r="D244" s="53"/>
      <c r="E244" s="45"/>
    </row>
    <row r="245" spans="1:5" x14ac:dyDescent="0.2">
      <c r="A245" s="58"/>
      <c r="B245" s="47"/>
      <c r="C245" s="70"/>
      <c r="D245" s="53"/>
      <c r="E245" s="45"/>
    </row>
    <row r="246" spans="1:5" x14ac:dyDescent="0.2">
      <c r="A246" s="58"/>
      <c r="B246" s="47"/>
      <c r="C246" s="70"/>
      <c r="D246" s="53"/>
      <c r="E246" s="45"/>
    </row>
    <row r="247" spans="1:5" x14ac:dyDescent="0.2">
      <c r="A247" s="58"/>
      <c r="B247" s="47"/>
      <c r="C247" s="70"/>
      <c r="D247" s="53"/>
      <c r="E247" s="45"/>
    </row>
    <row r="248" spans="1:5" x14ac:dyDescent="0.2">
      <c r="A248" s="58"/>
      <c r="B248" s="47"/>
      <c r="C248" s="70"/>
      <c r="D248" s="53"/>
      <c r="E248" s="45"/>
    </row>
    <row r="249" spans="1:5" x14ac:dyDescent="0.2">
      <c r="A249" s="58"/>
      <c r="B249" s="47"/>
      <c r="C249" s="70"/>
      <c r="D249" s="53"/>
      <c r="E249" s="45"/>
    </row>
    <row r="250" spans="1:5" x14ac:dyDescent="0.2">
      <c r="A250" s="58"/>
      <c r="B250" s="47"/>
      <c r="C250" s="70"/>
      <c r="D250" s="53"/>
      <c r="E250" s="45"/>
    </row>
    <row r="251" spans="1:5" x14ac:dyDescent="0.2">
      <c r="A251" s="58"/>
      <c r="B251" s="47"/>
      <c r="C251" s="70"/>
      <c r="D251" s="53"/>
      <c r="E251" s="45"/>
    </row>
    <row r="252" spans="1:5" x14ac:dyDescent="0.2">
      <c r="A252" s="58"/>
      <c r="B252" s="47"/>
      <c r="C252" s="70"/>
      <c r="D252" s="53"/>
      <c r="E252" s="45"/>
    </row>
    <row r="253" spans="1:5" x14ac:dyDescent="0.2">
      <c r="A253" s="58"/>
      <c r="B253" s="47"/>
      <c r="C253" s="70"/>
      <c r="D253" s="53"/>
      <c r="E253" s="45"/>
    </row>
    <row r="254" spans="1:5" x14ac:dyDescent="0.2">
      <c r="A254" s="58"/>
      <c r="B254" s="47"/>
      <c r="C254" s="70"/>
      <c r="D254" s="53"/>
      <c r="E254" s="45"/>
    </row>
    <row r="255" spans="1:5" x14ac:dyDescent="0.2">
      <c r="A255" s="58"/>
      <c r="B255" s="47"/>
      <c r="C255" s="70"/>
      <c r="D255" s="53"/>
      <c r="E255" s="45"/>
    </row>
    <row r="256" spans="1:5" x14ac:dyDescent="0.2">
      <c r="A256" s="58"/>
      <c r="B256" s="47"/>
      <c r="C256" s="70"/>
      <c r="D256" s="53"/>
      <c r="E256" s="45"/>
    </row>
    <row r="257" spans="1:5" x14ac:dyDescent="0.2">
      <c r="A257" s="58"/>
      <c r="B257" s="47"/>
      <c r="C257" s="70"/>
      <c r="D257" s="53"/>
      <c r="E257" s="45"/>
    </row>
    <row r="258" spans="1:5" x14ac:dyDescent="0.2">
      <c r="A258" s="58"/>
      <c r="B258" s="47"/>
      <c r="C258" s="70"/>
      <c r="D258" s="53"/>
      <c r="E258" s="45"/>
    </row>
    <row r="259" spans="1:5" x14ac:dyDescent="0.2">
      <c r="A259" s="58"/>
      <c r="B259" s="47"/>
      <c r="C259" s="70"/>
      <c r="D259" s="53"/>
      <c r="E259" s="45"/>
    </row>
    <row r="260" spans="1:5" x14ac:dyDescent="0.2">
      <c r="A260" s="58"/>
      <c r="B260" s="47"/>
      <c r="C260" s="70"/>
      <c r="D260" s="53"/>
      <c r="E260" s="45"/>
    </row>
    <row r="261" spans="1:5" x14ac:dyDescent="0.2">
      <c r="A261" s="58"/>
      <c r="B261" s="47"/>
      <c r="C261" s="70"/>
      <c r="D261" s="53"/>
      <c r="E261" s="45"/>
    </row>
    <row r="262" spans="1:5" ht="13.5" thickBot="1" x14ac:dyDescent="0.25">
      <c r="A262" s="59"/>
      <c r="B262" s="55"/>
      <c r="C262" s="60"/>
      <c r="D262" s="57"/>
      <c r="E262" s="45"/>
    </row>
    <row r="263" spans="1:5" x14ac:dyDescent="0.2">
      <c r="A263" s="45"/>
      <c r="B263" s="45"/>
      <c r="C263" s="45"/>
      <c r="D263" s="45"/>
      <c r="E263" s="45"/>
    </row>
    <row r="264" spans="1:5" x14ac:dyDescent="0.2">
      <c r="A264" s="45"/>
      <c r="B264" s="45"/>
      <c r="C264" s="45"/>
      <c r="D264" s="45"/>
      <c r="E264" s="45"/>
    </row>
    <row r="265" spans="1:5" x14ac:dyDescent="0.2">
      <c r="A265" s="45"/>
      <c r="B265" s="45"/>
      <c r="C265" s="45"/>
      <c r="D265" s="45"/>
      <c r="E265" s="45"/>
    </row>
    <row r="266" spans="1:5" x14ac:dyDescent="0.2">
      <c r="A266" s="45"/>
      <c r="B266" s="45"/>
      <c r="C266" s="45"/>
      <c r="D266" s="45"/>
      <c r="E266" s="45"/>
    </row>
    <row r="267" spans="1:5" x14ac:dyDescent="0.2">
      <c r="A267" s="44"/>
      <c r="B267" s="44"/>
      <c r="C267" s="44"/>
      <c r="D267" s="44"/>
      <c r="E267" s="44"/>
    </row>
    <row r="268" spans="1:5" x14ac:dyDescent="0.2">
      <c r="A268" s="44"/>
      <c r="B268" s="44"/>
      <c r="C268" s="44"/>
      <c r="D268" s="44"/>
      <c r="E268" s="44"/>
    </row>
    <row r="269" spans="1:5" x14ac:dyDescent="0.2">
      <c r="A269" s="44"/>
      <c r="B269" s="44"/>
      <c r="C269" s="44"/>
      <c r="D269" s="44"/>
      <c r="E269" s="44"/>
    </row>
    <row r="270" spans="1:5" x14ac:dyDescent="0.2">
      <c r="A270" s="44"/>
      <c r="B270" s="44"/>
      <c r="C270" s="44"/>
      <c r="D270" s="44"/>
      <c r="E270" s="44"/>
    </row>
    <row r="271" spans="1:5" x14ac:dyDescent="0.2">
      <c r="A271" s="44"/>
      <c r="B271" s="44"/>
      <c r="C271" s="44"/>
      <c r="D271" s="44"/>
      <c r="E271" s="44"/>
    </row>
  </sheetData>
  <mergeCells count="1">
    <mergeCell ref="A1:D1"/>
  </mergeCell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K108"/>
  <sheetViews>
    <sheetView workbookViewId="0">
      <selection sqref="A1:A108"/>
    </sheetView>
  </sheetViews>
  <sheetFormatPr baseColWidth="10" defaultRowHeight="12.75" x14ac:dyDescent="0.2"/>
  <cols>
    <col min="7" max="7" width="15.28515625" bestFit="1" customWidth="1"/>
  </cols>
  <sheetData>
    <row r="1" spans="1:11" x14ac:dyDescent="0.2">
      <c r="A1" t="s">
        <v>42</v>
      </c>
      <c r="B1" t="s">
        <v>43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95</v>
      </c>
      <c r="J1" t="s">
        <v>96</v>
      </c>
      <c r="K1" t="s">
        <v>97</v>
      </c>
    </row>
    <row r="2" spans="1:11" x14ac:dyDescent="0.2">
      <c r="A2">
        <v>0</v>
      </c>
      <c r="B2" t="s">
        <v>50</v>
      </c>
      <c r="C2">
        <v>1</v>
      </c>
      <c r="D2" t="s">
        <v>51</v>
      </c>
      <c r="E2">
        <v>-1</v>
      </c>
      <c r="F2" t="s">
        <v>52</v>
      </c>
      <c r="G2" s="61">
        <v>41350.841828703706</v>
      </c>
      <c r="H2" t="s">
        <v>98</v>
      </c>
      <c r="I2" t="s">
        <v>99</v>
      </c>
      <c r="J2" t="s">
        <v>99</v>
      </c>
      <c r="K2">
        <v>15</v>
      </c>
    </row>
    <row r="3" spans="1:11" x14ac:dyDescent="0.2">
      <c r="A3">
        <v>0</v>
      </c>
      <c r="B3" t="s">
        <v>50</v>
      </c>
      <c r="C3">
        <v>1</v>
      </c>
      <c r="D3" t="s">
        <v>51</v>
      </c>
      <c r="E3">
        <v>-1</v>
      </c>
      <c r="F3" t="s">
        <v>52</v>
      </c>
      <c r="G3" s="61">
        <v>41350.841828703706</v>
      </c>
      <c r="H3" t="s">
        <v>44</v>
      </c>
      <c r="I3" t="s">
        <v>100</v>
      </c>
      <c r="J3">
        <v>0</v>
      </c>
      <c r="K3">
        <v>18</v>
      </c>
    </row>
    <row r="4" spans="1:11" x14ac:dyDescent="0.2">
      <c r="A4">
        <v>0</v>
      </c>
      <c r="B4" t="s">
        <v>50</v>
      </c>
      <c r="C4">
        <v>1</v>
      </c>
      <c r="D4" t="s">
        <v>51</v>
      </c>
      <c r="E4">
        <v>-1</v>
      </c>
      <c r="F4" t="s">
        <v>52</v>
      </c>
      <c r="G4" s="61">
        <v>41350.841828703706</v>
      </c>
      <c r="H4" t="s">
        <v>101</v>
      </c>
      <c r="I4" t="s">
        <v>102</v>
      </c>
      <c r="J4" t="s">
        <v>53</v>
      </c>
      <c r="K4">
        <v>18</v>
      </c>
    </row>
    <row r="5" spans="1:11" x14ac:dyDescent="0.2">
      <c r="A5">
        <v>0</v>
      </c>
      <c r="B5" t="s">
        <v>50</v>
      </c>
      <c r="C5">
        <v>1</v>
      </c>
      <c r="D5" t="s">
        <v>51</v>
      </c>
      <c r="E5">
        <v>-1</v>
      </c>
      <c r="F5" t="s">
        <v>52</v>
      </c>
      <c r="G5" s="61">
        <v>41350.841828703706</v>
      </c>
      <c r="H5" t="s">
        <v>101</v>
      </c>
      <c r="I5" t="s">
        <v>103</v>
      </c>
      <c r="J5" t="s">
        <v>53</v>
      </c>
      <c r="K5">
        <v>18</v>
      </c>
    </row>
    <row r="6" spans="1:11" x14ac:dyDescent="0.2">
      <c r="A6">
        <v>0</v>
      </c>
      <c r="B6" t="s">
        <v>50</v>
      </c>
      <c r="C6">
        <v>1</v>
      </c>
      <c r="D6" t="s">
        <v>51</v>
      </c>
      <c r="E6">
        <v>-1</v>
      </c>
      <c r="F6" t="s">
        <v>52</v>
      </c>
      <c r="G6" s="61">
        <v>41350.841828703706</v>
      </c>
      <c r="H6" t="s">
        <v>104</v>
      </c>
      <c r="I6" t="s">
        <v>105</v>
      </c>
      <c r="J6" t="s">
        <v>54</v>
      </c>
      <c r="K6">
        <v>18</v>
      </c>
    </row>
    <row r="7" spans="1:11" x14ac:dyDescent="0.2">
      <c r="A7">
        <v>0</v>
      </c>
      <c r="B7" t="s">
        <v>50</v>
      </c>
      <c r="C7">
        <v>1</v>
      </c>
      <c r="D7" t="s">
        <v>51</v>
      </c>
      <c r="E7">
        <v>-1</v>
      </c>
      <c r="F7" t="s">
        <v>52</v>
      </c>
      <c r="G7" s="61">
        <v>41350.841828703706</v>
      </c>
      <c r="H7" t="s">
        <v>106</v>
      </c>
      <c r="I7" t="s">
        <v>107</v>
      </c>
      <c r="K7">
        <v>1028</v>
      </c>
    </row>
    <row r="8" spans="1:11" x14ac:dyDescent="0.2">
      <c r="A8">
        <v>0</v>
      </c>
      <c r="B8" t="s">
        <v>50</v>
      </c>
      <c r="C8">
        <v>1</v>
      </c>
      <c r="D8" t="s">
        <v>51</v>
      </c>
      <c r="E8">
        <v>-1</v>
      </c>
      <c r="F8" t="s">
        <v>52</v>
      </c>
      <c r="G8" s="61">
        <v>41350.841828703706</v>
      </c>
      <c r="H8" t="s">
        <v>106</v>
      </c>
      <c r="I8" t="s">
        <v>107</v>
      </c>
      <c r="K8">
        <v>1028</v>
      </c>
    </row>
    <row r="9" spans="1:11" x14ac:dyDescent="0.2">
      <c r="A9">
        <v>0</v>
      </c>
      <c r="B9" t="s">
        <v>50</v>
      </c>
      <c r="C9">
        <v>1</v>
      </c>
      <c r="D9" t="s">
        <v>51</v>
      </c>
      <c r="E9">
        <v>-1</v>
      </c>
      <c r="F9" t="s">
        <v>52</v>
      </c>
      <c r="G9" s="61">
        <v>41350.841828703706</v>
      </c>
      <c r="H9" t="s">
        <v>106</v>
      </c>
      <c r="I9" t="s">
        <v>108</v>
      </c>
      <c r="K9">
        <v>1823</v>
      </c>
    </row>
    <row r="10" spans="1:11" x14ac:dyDescent="0.2">
      <c r="A10">
        <v>0</v>
      </c>
      <c r="B10" t="s">
        <v>50</v>
      </c>
      <c r="C10">
        <v>1</v>
      </c>
      <c r="D10" t="s">
        <v>51</v>
      </c>
      <c r="E10">
        <v>-1</v>
      </c>
      <c r="F10" t="s">
        <v>52</v>
      </c>
      <c r="G10" s="61">
        <v>41350.841828703706</v>
      </c>
      <c r="H10" t="s">
        <v>106</v>
      </c>
      <c r="I10" t="s">
        <v>108</v>
      </c>
      <c r="K10">
        <v>1823</v>
      </c>
    </row>
    <row r="11" spans="1:11" x14ac:dyDescent="0.2">
      <c r="A11">
        <v>0</v>
      </c>
      <c r="B11" t="s">
        <v>50</v>
      </c>
      <c r="C11">
        <v>1</v>
      </c>
      <c r="D11" t="s">
        <v>51</v>
      </c>
      <c r="E11">
        <v>-1</v>
      </c>
      <c r="F11" t="s">
        <v>52</v>
      </c>
      <c r="G11" s="61">
        <v>41350.841828703706</v>
      </c>
      <c r="H11" t="s">
        <v>106</v>
      </c>
      <c r="I11" t="s">
        <v>109</v>
      </c>
      <c r="K11">
        <v>2294</v>
      </c>
    </row>
    <row r="12" spans="1:11" x14ac:dyDescent="0.2">
      <c r="A12">
        <v>0</v>
      </c>
      <c r="B12" t="s">
        <v>50</v>
      </c>
      <c r="C12">
        <v>1</v>
      </c>
      <c r="D12" t="s">
        <v>51</v>
      </c>
      <c r="E12">
        <v>-1</v>
      </c>
      <c r="F12" t="s">
        <v>52</v>
      </c>
      <c r="G12" s="61">
        <v>41350.841828703706</v>
      </c>
      <c r="H12" t="s">
        <v>106</v>
      </c>
      <c r="I12" t="s">
        <v>109</v>
      </c>
      <c r="K12">
        <v>2295</v>
      </c>
    </row>
    <row r="13" spans="1:11" x14ac:dyDescent="0.2">
      <c r="A13">
        <v>0</v>
      </c>
      <c r="B13" t="s">
        <v>50</v>
      </c>
      <c r="C13">
        <v>1</v>
      </c>
      <c r="D13" t="s">
        <v>51</v>
      </c>
      <c r="E13">
        <v>-1</v>
      </c>
      <c r="F13" t="s">
        <v>52</v>
      </c>
      <c r="G13" s="61">
        <v>41350.841828703706</v>
      </c>
      <c r="H13" t="s">
        <v>106</v>
      </c>
      <c r="I13" t="s">
        <v>110</v>
      </c>
      <c r="K13">
        <v>2717</v>
      </c>
    </row>
    <row r="14" spans="1:11" x14ac:dyDescent="0.2">
      <c r="A14">
        <v>0</v>
      </c>
      <c r="B14" t="s">
        <v>50</v>
      </c>
      <c r="C14">
        <v>1</v>
      </c>
      <c r="D14" t="s">
        <v>51</v>
      </c>
      <c r="E14">
        <v>-1</v>
      </c>
      <c r="F14" t="s">
        <v>52</v>
      </c>
      <c r="G14" s="61">
        <v>41350.841828703706</v>
      </c>
      <c r="H14" t="s">
        <v>106</v>
      </c>
      <c r="I14" t="s">
        <v>110</v>
      </c>
      <c r="K14">
        <v>2717</v>
      </c>
    </row>
    <row r="15" spans="1:11" x14ac:dyDescent="0.2">
      <c r="A15">
        <v>0</v>
      </c>
      <c r="B15" t="s">
        <v>50</v>
      </c>
      <c r="C15">
        <v>1</v>
      </c>
      <c r="D15" t="s">
        <v>51</v>
      </c>
      <c r="E15">
        <v>-1</v>
      </c>
      <c r="F15" t="s">
        <v>52</v>
      </c>
      <c r="G15" s="61">
        <v>41350.841828703706</v>
      </c>
      <c r="H15" t="s">
        <v>111</v>
      </c>
      <c r="I15" t="s">
        <v>52</v>
      </c>
      <c r="J15" t="s">
        <v>112</v>
      </c>
      <c r="K15">
        <v>3028</v>
      </c>
    </row>
    <row r="16" spans="1:11" x14ac:dyDescent="0.2">
      <c r="A16">
        <v>0</v>
      </c>
      <c r="B16" t="s">
        <v>50</v>
      </c>
      <c r="C16">
        <v>1</v>
      </c>
      <c r="D16" t="s">
        <v>51</v>
      </c>
      <c r="E16">
        <v>-1</v>
      </c>
      <c r="F16" t="s">
        <v>52</v>
      </c>
      <c r="G16" s="61">
        <v>41350.841828703706</v>
      </c>
      <c r="H16" t="s">
        <v>55</v>
      </c>
      <c r="I16" t="s">
        <v>52</v>
      </c>
      <c r="J16" t="s">
        <v>112</v>
      </c>
      <c r="K16">
        <v>3454</v>
      </c>
    </row>
    <row r="17" spans="1:11" x14ac:dyDescent="0.2">
      <c r="A17">
        <v>0</v>
      </c>
      <c r="B17" t="s">
        <v>50</v>
      </c>
      <c r="C17">
        <v>1</v>
      </c>
      <c r="D17" t="s">
        <v>51</v>
      </c>
      <c r="E17">
        <v>-1</v>
      </c>
      <c r="F17" t="s">
        <v>52</v>
      </c>
      <c r="G17" s="61">
        <v>41350.841828703706</v>
      </c>
      <c r="H17" t="s">
        <v>56</v>
      </c>
      <c r="I17" t="s">
        <v>52</v>
      </c>
      <c r="J17" t="s">
        <v>112</v>
      </c>
      <c r="K17">
        <v>4010</v>
      </c>
    </row>
    <row r="18" spans="1:11" x14ac:dyDescent="0.2">
      <c r="A18">
        <v>0</v>
      </c>
      <c r="B18" t="s">
        <v>50</v>
      </c>
      <c r="C18">
        <v>1</v>
      </c>
      <c r="D18" t="s">
        <v>51</v>
      </c>
      <c r="E18">
        <v>-1</v>
      </c>
      <c r="F18" t="s">
        <v>52</v>
      </c>
      <c r="G18" s="61">
        <v>41350.841828703706</v>
      </c>
      <c r="H18" t="s">
        <v>113</v>
      </c>
      <c r="I18" t="s">
        <v>113</v>
      </c>
      <c r="J18" t="s">
        <v>113</v>
      </c>
      <c r="K18">
        <v>4586</v>
      </c>
    </row>
    <row r="19" spans="1:11" x14ac:dyDescent="0.2">
      <c r="A19">
        <v>0</v>
      </c>
      <c r="B19" t="s">
        <v>50</v>
      </c>
      <c r="C19">
        <v>1</v>
      </c>
      <c r="D19" t="s">
        <v>51</v>
      </c>
      <c r="E19">
        <v>-1</v>
      </c>
      <c r="F19" t="s">
        <v>52</v>
      </c>
      <c r="G19" s="61">
        <v>41350.841828703706</v>
      </c>
      <c r="H19" t="s">
        <v>113</v>
      </c>
      <c r="I19" t="s">
        <v>114</v>
      </c>
      <c r="J19">
        <v>32</v>
      </c>
      <c r="K19">
        <v>7722</v>
      </c>
    </row>
    <row r="20" spans="1:11" x14ac:dyDescent="0.2">
      <c r="A20">
        <v>1</v>
      </c>
      <c r="B20" t="s">
        <v>50</v>
      </c>
      <c r="C20">
        <v>1</v>
      </c>
      <c r="D20" t="s">
        <v>51</v>
      </c>
      <c r="E20">
        <v>-1</v>
      </c>
      <c r="F20" t="s">
        <v>52</v>
      </c>
      <c r="G20" s="61">
        <v>41350.841990740744</v>
      </c>
      <c r="H20" t="s">
        <v>98</v>
      </c>
      <c r="I20" t="s">
        <v>99</v>
      </c>
      <c r="J20" t="s">
        <v>99</v>
      </c>
      <c r="K20">
        <v>28</v>
      </c>
    </row>
    <row r="21" spans="1:11" x14ac:dyDescent="0.2">
      <c r="A21">
        <v>1</v>
      </c>
      <c r="B21" t="s">
        <v>50</v>
      </c>
      <c r="C21">
        <v>1</v>
      </c>
      <c r="D21" t="s">
        <v>51</v>
      </c>
      <c r="E21">
        <v>-1</v>
      </c>
      <c r="F21" t="s">
        <v>52</v>
      </c>
      <c r="G21" s="61">
        <v>41350.841990740744</v>
      </c>
      <c r="H21" t="s">
        <v>44</v>
      </c>
      <c r="I21" t="s">
        <v>100</v>
      </c>
      <c r="J21">
        <v>1</v>
      </c>
      <c r="K21">
        <v>33</v>
      </c>
    </row>
    <row r="22" spans="1:11" x14ac:dyDescent="0.2">
      <c r="A22">
        <v>1</v>
      </c>
      <c r="B22" t="s">
        <v>50</v>
      </c>
      <c r="C22">
        <v>1</v>
      </c>
      <c r="D22" t="s">
        <v>51</v>
      </c>
      <c r="E22">
        <v>-1</v>
      </c>
      <c r="F22" t="s">
        <v>52</v>
      </c>
      <c r="G22" s="61">
        <v>41350.841990740744</v>
      </c>
      <c r="H22" t="s">
        <v>101</v>
      </c>
      <c r="I22" t="s">
        <v>102</v>
      </c>
      <c r="J22" t="s">
        <v>53</v>
      </c>
      <c r="K22">
        <v>33</v>
      </c>
    </row>
    <row r="23" spans="1:11" x14ac:dyDescent="0.2">
      <c r="A23">
        <v>1</v>
      </c>
      <c r="B23" t="s">
        <v>50</v>
      </c>
      <c r="C23">
        <v>1</v>
      </c>
      <c r="D23" t="s">
        <v>51</v>
      </c>
      <c r="E23">
        <v>-1</v>
      </c>
      <c r="F23" t="s">
        <v>52</v>
      </c>
      <c r="G23" s="61">
        <v>41350.841990740744</v>
      </c>
      <c r="H23" t="s">
        <v>101</v>
      </c>
      <c r="I23" t="s">
        <v>103</v>
      </c>
      <c r="J23" t="s">
        <v>57</v>
      </c>
      <c r="K23">
        <v>33</v>
      </c>
    </row>
    <row r="24" spans="1:11" x14ac:dyDescent="0.2">
      <c r="A24">
        <v>1</v>
      </c>
      <c r="B24" t="s">
        <v>50</v>
      </c>
      <c r="C24">
        <v>1</v>
      </c>
      <c r="D24" t="s">
        <v>51</v>
      </c>
      <c r="E24">
        <v>-1</v>
      </c>
      <c r="F24" t="s">
        <v>52</v>
      </c>
      <c r="G24" s="61">
        <v>41350.841990740744</v>
      </c>
      <c r="H24" t="s">
        <v>104</v>
      </c>
      <c r="I24" t="s">
        <v>105</v>
      </c>
      <c r="J24" t="s">
        <v>54</v>
      </c>
      <c r="K24">
        <v>33</v>
      </c>
    </row>
    <row r="25" spans="1:11" x14ac:dyDescent="0.2">
      <c r="A25">
        <v>1</v>
      </c>
      <c r="B25" t="s">
        <v>50</v>
      </c>
      <c r="C25">
        <v>1</v>
      </c>
      <c r="D25" t="s">
        <v>51</v>
      </c>
      <c r="E25">
        <v>-1</v>
      </c>
      <c r="F25" t="s">
        <v>52</v>
      </c>
      <c r="G25" s="61">
        <v>41350.841990740744</v>
      </c>
      <c r="H25" t="s">
        <v>106</v>
      </c>
      <c r="I25" t="s">
        <v>109</v>
      </c>
      <c r="K25">
        <v>1314</v>
      </c>
    </row>
    <row r="26" spans="1:11" x14ac:dyDescent="0.2">
      <c r="A26">
        <v>1</v>
      </c>
      <c r="B26" t="s">
        <v>50</v>
      </c>
      <c r="C26">
        <v>1</v>
      </c>
      <c r="D26" t="s">
        <v>51</v>
      </c>
      <c r="E26">
        <v>-1</v>
      </c>
      <c r="F26" t="s">
        <v>52</v>
      </c>
      <c r="G26" s="61">
        <v>41350.841990740744</v>
      </c>
      <c r="H26" t="s">
        <v>106</v>
      </c>
      <c r="I26" t="s">
        <v>109</v>
      </c>
      <c r="K26">
        <v>1314</v>
      </c>
    </row>
    <row r="27" spans="1:11" x14ac:dyDescent="0.2">
      <c r="A27">
        <v>1</v>
      </c>
      <c r="B27" t="s">
        <v>50</v>
      </c>
      <c r="C27">
        <v>1</v>
      </c>
      <c r="D27" t="s">
        <v>51</v>
      </c>
      <c r="E27">
        <v>-1</v>
      </c>
      <c r="F27" t="s">
        <v>52</v>
      </c>
      <c r="G27" s="61">
        <v>41350.841990740744</v>
      </c>
      <c r="H27" t="s">
        <v>106</v>
      </c>
      <c r="I27" t="s">
        <v>110</v>
      </c>
      <c r="K27">
        <v>1922</v>
      </c>
    </row>
    <row r="28" spans="1:11" x14ac:dyDescent="0.2">
      <c r="A28">
        <v>1</v>
      </c>
      <c r="B28" t="s">
        <v>50</v>
      </c>
      <c r="C28">
        <v>1</v>
      </c>
      <c r="D28" t="s">
        <v>51</v>
      </c>
      <c r="E28">
        <v>-1</v>
      </c>
      <c r="F28" t="s">
        <v>52</v>
      </c>
      <c r="G28" s="61">
        <v>41350.841990740744</v>
      </c>
      <c r="H28" t="s">
        <v>106</v>
      </c>
      <c r="I28" t="s">
        <v>110</v>
      </c>
      <c r="K28">
        <v>1922</v>
      </c>
    </row>
    <row r="29" spans="1:11" x14ac:dyDescent="0.2">
      <c r="A29">
        <v>1</v>
      </c>
      <c r="B29" t="s">
        <v>50</v>
      </c>
      <c r="C29">
        <v>1</v>
      </c>
      <c r="D29" t="s">
        <v>51</v>
      </c>
      <c r="E29">
        <v>-1</v>
      </c>
      <c r="F29" t="s">
        <v>52</v>
      </c>
      <c r="G29" s="61">
        <v>41350.841990740744</v>
      </c>
      <c r="H29" t="s">
        <v>106</v>
      </c>
      <c r="I29" t="s">
        <v>107</v>
      </c>
      <c r="K29">
        <v>2536</v>
      </c>
    </row>
    <row r="30" spans="1:11" x14ac:dyDescent="0.2">
      <c r="A30">
        <v>1</v>
      </c>
      <c r="B30" t="s">
        <v>50</v>
      </c>
      <c r="C30">
        <v>1</v>
      </c>
      <c r="D30" t="s">
        <v>51</v>
      </c>
      <c r="E30">
        <v>-1</v>
      </c>
      <c r="F30" t="s">
        <v>52</v>
      </c>
      <c r="G30" s="61">
        <v>41350.841990740744</v>
      </c>
      <c r="H30" t="s">
        <v>106</v>
      </c>
      <c r="I30" t="s">
        <v>107</v>
      </c>
      <c r="K30">
        <v>2536</v>
      </c>
    </row>
    <row r="31" spans="1:11" x14ac:dyDescent="0.2">
      <c r="A31">
        <v>1</v>
      </c>
      <c r="B31" t="s">
        <v>50</v>
      </c>
      <c r="C31">
        <v>1</v>
      </c>
      <c r="D31" t="s">
        <v>51</v>
      </c>
      <c r="E31">
        <v>-1</v>
      </c>
      <c r="F31" t="s">
        <v>52</v>
      </c>
      <c r="G31" s="61">
        <v>41350.841990740744</v>
      </c>
      <c r="H31" t="s">
        <v>106</v>
      </c>
      <c r="I31" t="s">
        <v>108</v>
      </c>
      <c r="K31">
        <v>2964</v>
      </c>
    </row>
    <row r="32" spans="1:11" x14ac:dyDescent="0.2">
      <c r="A32">
        <v>1</v>
      </c>
      <c r="B32" t="s">
        <v>50</v>
      </c>
      <c r="C32">
        <v>1</v>
      </c>
      <c r="D32" t="s">
        <v>51</v>
      </c>
      <c r="E32">
        <v>-1</v>
      </c>
      <c r="F32" t="s">
        <v>52</v>
      </c>
      <c r="G32" s="61">
        <v>41350.841990740744</v>
      </c>
      <c r="H32" t="s">
        <v>106</v>
      </c>
      <c r="I32" t="s">
        <v>108</v>
      </c>
      <c r="K32">
        <v>2965</v>
      </c>
    </row>
    <row r="33" spans="1:11" x14ac:dyDescent="0.2">
      <c r="A33">
        <v>1</v>
      </c>
      <c r="B33" t="s">
        <v>50</v>
      </c>
      <c r="C33">
        <v>1</v>
      </c>
      <c r="D33" t="s">
        <v>51</v>
      </c>
      <c r="E33">
        <v>-1</v>
      </c>
      <c r="F33" t="s">
        <v>52</v>
      </c>
      <c r="G33" s="61">
        <v>41350.841990740744</v>
      </c>
      <c r="H33" t="s">
        <v>111</v>
      </c>
      <c r="I33" t="s">
        <v>58</v>
      </c>
      <c r="J33" t="s">
        <v>115</v>
      </c>
      <c r="K33">
        <v>4070</v>
      </c>
    </row>
    <row r="34" spans="1:11" x14ac:dyDescent="0.2">
      <c r="A34">
        <v>1</v>
      </c>
      <c r="B34" t="s">
        <v>50</v>
      </c>
      <c r="C34">
        <v>1</v>
      </c>
      <c r="D34" t="s">
        <v>51</v>
      </c>
      <c r="E34">
        <v>-1</v>
      </c>
      <c r="F34" t="s">
        <v>52</v>
      </c>
      <c r="G34" s="61">
        <v>41350.841990740744</v>
      </c>
      <c r="H34" t="s">
        <v>55</v>
      </c>
      <c r="I34" t="s">
        <v>58</v>
      </c>
      <c r="J34" t="s">
        <v>112</v>
      </c>
      <c r="K34">
        <v>4386</v>
      </c>
    </row>
    <row r="35" spans="1:11" x14ac:dyDescent="0.2">
      <c r="A35">
        <v>1</v>
      </c>
      <c r="B35" t="s">
        <v>50</v>
      </c>
      <c r="C35">
        <v>1</v>
      </c>
      <c r="D35" t="s">
        <v>51</v>
      </c>
      <c r="E35">
        <v>-1</v>
      </c>
      <c r="F35" t="s">
        <v>52</v>
      </c>
      <c r="G35" s="61">
        <v>41350.841990740744</v>
      </c>
      <c r="H35" t="s">
        <v>56</v>
      </c>
      <c r="I35" t="s">
        <v>58</v>
      </c>
      <c r="J35" t="s">
        <v>115</v>
      </c>
      <c r="K35">
        <v>4680</v>
      </c>
    </row>
    <row r="36" spans="1:11" x14ac:dyDescent="0.2">
      <c r="A36">
        <v>1</v>
      </c>
      <c r="B36" t="s">
        <v>50</v>
      </c>
      <c r="C36">
        <v>1</v>
      </c>
      <c r="D36" t="s">
        <v>51</v>
      </c>
      <c r="E36">
        <v>-1</v>
      </c>
      <c r="F36" t="s">
        <v>52</v>
      </c>
      <c r="G36" s="61">
        <v>41350.841990740744</v>
      </c>
      <c r="H36" t="s">
        <v>111</v>
      </c>
      <c r="I36" t="s">
        <v>52</v>
      </c>
      <c r="J36" t="s">
        <v>112</v>
      </c>
      <c r="K36">
        <v>4793</v>
      </c>
    </row>
    <row r="37" spans="1:11" x14ac:dyDescent="0.2">
      <c r="A37">
        <v>1</v>
      </c>
      <c r="B37" t="s">
        <v>50</v>
      </c>
      <c r="C37">
        <v>1</v>
      </c>
      <c r="D37" t="s">
        <v>51</v>
      </c>
      <c r="E37">
        <v>-1</v>
      </c>
      <c r="F37" t="s">
        <v>52</v>
      </c>
      <c r="G37" s="61">
        <v>41350.841990740744</v>
      </c>
      <c r="H37" t="s">
        <v>55</v>
      </c>
      <c r="I37" t="s">
        <v>52</v>
      </c>
      <c r="J37" t="s">
        <v>115</v>
      </c>
      <c r="K37">
        <v>5193</v>
      </c>
    </row>
    <row r="38" spans="1:11" x14ac:dyDescent="0.2">
      <c r="A38">
        <v>1</v>
      </c>
      <c r="B38" t="s">
        <v>50</v>
      </c>
      <c r="C38">
        <v>1</v>
      </c>
      <c r="D38" t="s">
        <v>51</v>
      </c>
      <c r="E38">
        <v>-1</v>
      </c>
      <c r="F38" t="s">
        <v>52</v>
      </c>
      <c r="G38" s="61">
        <v>41350.841990740744</v>
      </c>
      <c r="H38" t="s">
        <v>56</v>
      </c>
      <c r="I38" t="s">
        <v>52</v>
      </c>
      <c r="J38" t="s">
        <v>112</v>
      </c>
      <c r="K38">
        <v>5886</v>
      </c>
    </row>
    <row r="39" spans="1:11" x14ac:dyDescent="0.2">
      <c r="A39">
        <v>1</v>
      </c>
      <c r="B39" t="s">
        <v>50</v>
      </c>
      <c r="C39">
        <v>1</v>
      </c>
      <c r="D39" t="s">
        <v>51</v>
      </c>
      <c r="E39">
        <v>-1</v>
      </c>
      <c r="F39" t="s">
        <v>52</v>
      </c>
      <c r="G39" s="61">
        <v>41350.841990740744</v>
      </c>
      <c r="H39" t="s">
        <v>106</v>
      </c>
      <c r="I39" t="s">
        <v>109</v>
      </c>
      <c r="K39">
        <v>6794</v>
      </c>
    </row>
    <row r="40" spans="1:11" x14ac:dyDescent="0.2">
      <c r="A40">
        <v>1</v>
      </c>
      <c r="B40" t="s">
        <v>50</v>
      </c>
      <c r="C40">
        <v>1</v>
      </c>
      <c r="D40" t="s">
        <v>51</v>
      </c>
      <c r="E40">
        <v>-1</v>
      </c>
      <c r="F40" t="s">
        <v>52</v>
      </c>
      <c r="G40" s="61">
        <v>41350.841990740744</v>
      </c>
      <c r="H40" t="s">
        <v>106</v>
      </c>
      <c r="I40" t="s">
        <v>109</v>
      </c>
      <c r="K40">
        <v>6795</v>
      </c>
    </row>
    <row r="41" spans="1:11" x14ac:dyDescent="0.2">
      <c r="A41">
        <v>1</v>
      </c>
      <c r="B41" t="s">
        <v>50</v>
      </c>
      <c r="C41">
        <v>1</v>
      </c>
      <c r="D41" t="s">
        <v>51</v>
      </c>
      <c r="E41">
        <v>-1</v>
      </c>
      <c r="F41" t="s">
        <v>52</v>
      </c>
      <c r="G41" s="61">
        <v>41350.841990740744</v>
      </c>
      <c r="H41" t="s">
        <v>106</v>
      </c>
      <c r="I41" t="s">
        <v>108</v>
      </c>
      <c r="K41">
        <v>8074</v>
      </c>
    </row>
    <row r="42" spans="1:11" x14ac:dyDescent="0.2">
      <c r="A42">
        <v>1</v>
      </c>
      <c r="B42" t="s">
        <v>50</v>
      </c>
      <c r="C42">
        <v>1</v>
      </c>
      <c r="D42" t="s">
        <v>51</v>
      </c>
      <c r="E42">
        <v>-1</v>
      </c>
      <c r="F42" t="s">
        <v>52</v>
      </c>
      <c r="G42" s="61">
        <v>41350.841990740744</v>
      </c>
      <c r="H42" t="s">
        <v>106</v>
      </c>
      <c r="I42" t="s">
        <v>108</v>
      </c>
      <c r="K42">
        <v>8075</v>
      </c>
    </row>
    <row r="43" spans="1:11" x14ac:dyDescent="0.2">
      <c r="A43">
        <v>1</v>
      </c>
      <c r="B43" t="s">
        <v>50</v>
      </c>
      <c r="C43">
        <v>1</v>
      </c>
      <c r="D43" t="s">
        <v>51</v>
      </c>
      <c r="E43">
        <v>-1</v>
      </c>
      <c r="F43" t="s">
        <v>52</v>
      </c>
      <c r="G43" s="61">
        <v>41350.841990740744</v>
      </c>
      <c r="H43" t="s">
        <v>113</v>
      </c>
      <c r="I43" t="s">
        <v>113</v>
      </c>
      <c r="J43" t="s">
        <v>113</v>
      </c>
      <c r="K43">
        <v>8862</v>
      </c>
    </row>
    <row r="44" spans="1:11" x14ac:dyDescent="0.2">
      <c r="A44">
        <v>1</v>
      </c>
      <c r="B44" t="s">
        <v>50</v>
      </c>
      <c r="C44">
        <v>1</v>
      </c>
      <c r="D44" t="s">
        <v>51</v>
      </c>
      <c r="E44">
        <v>-1</v>
      </c>
      <c r="F44" t="s">
        <v>52</v>
      </c>
      <c r="G44" s="61">
        <v>41350.841990740744</v>
      </c>
      <c r="H44" t="s">
        <v>113</v>
      </c>
      <c r="I44" t="s">
        <v>114</v>
      </c>
      <c r="J44">
        <v>516</v>
      </c>
      <c r="K44">
        <v>13337</v>
      </c>
    </row>
    <row r="45" spans="1:11" x14ac:dyDescent="0.2">
      <c r="A45">
        <v>2</v>
      </c>
      <c r="B45" t="s">
        <v>50</v>
      </c>
      <c r="C45">
        <v>1</v>
      </c>
      <c r="D45" t="s">
        <v>51</v>
      </c>
      <c r="E45">
        <v>-1</v>
      </c>
      <c r="F45" t="s">
        <v>52</v>
      </c>
      <c r="G45" s="61">
        <v>41350.842106481483</v>
      </c>
      <c r="H45" t="s">
        <v>98</v>
      </c>
      <c r="I45" t="s">
        <v>99</v>
      </c>
      <c r="J45" t="s">
        <v>99</v>
      </c>
      <c r="K45">
        <v>26</v>
      </c>
    </row>
    <row r="46" spans="1:11" x14ac:dyDescent="0.2">
      <c r="A46">
        <v>2</v>
      </c>
      <c r="B46" t="s">
        <v>50</v>
      </c>
      <c r="C46">
        <v>1</v>
      </c>
      <c r="D46" t="s">
        <v>51</v>
      </c>
      <c r="E46">
        <v>-1</v>
      </c>
      <c r="F46" t="s">
        <v>52</v>
      </c>
      <c r="G46" s="61">
        <v>41350.842106481483</v>
      </c>
      <c r="H46" t="s">
        <v>44</v>
      </c>
      <c r="I46" t="s">
        <v>100</v>
      </c>
      <c r="J46">
        <v>0</v>
      </c>
      <c r="K46">
        <v>30</v>
      </c>
    </row>
    <row r="47" spans="1:11" x14ac:dyDescent="0.2">
      <c r="A47">
        <v>2</v>
      </c>
      <c r="B47" t="s">
        <v>50</v>
      </c>
      <c r="C47">
        <v>1</v>
      </c>
      <c r="D47" t="s">
        <v>51</v>
      </c>
      <c r="E47">
        <v>-1</v>
      </c>
      <c r="F47" t="s">
        <v>52</v>
      </c>
      <c r="G47" s="61">
        <v>41350.842106481483</v>
      </c>
      <c r="H47" t="s">
        <v>101</v>
      </c>
      <c r="I47" t="s">
        <v>102</v>
      </c>
      <c r="J47" t="s">
        <v>53</v>
      </c>
      <c r="K47">
        <v>30</v>
      </c>
    </row>
    <row r="48" spans="1:11" x14ac:dyDescent="0.2">
      <c r="A48">
        <v>2</v>
      </c>
      <c r="B48" t="s">
        <v>50</v>
      </c>
      <c r="C48">
        <v>1</v>
      </c>
      <c r="D48" t="s">
        <v>51</v>
      </c>
      <c r="E48">
        <v>-1</v>
      </c>
      <c r="F48" t="s">
        <v>52</v>
      </c>
      <c r="G48" s="61">
        <v>41350.842106481483</v>
      </c>
      <c r="H48" t="s">
        <v>101</v>
      </c>
      <c r="I48" t="s">
        <v>103</v>
      </c>
      <c r="J48" t="s">
        <v>53</v>
      </c>
      <c r="K48">
        <v>30</v>
      </c>
    </row>
    <row r="49" spans="1:11" x14ac:dyDescent="0.2">
      <c r="A49">
        <v>2</v>
      </c>
      <c r="B49" t="s">
        <v>50</v>
      </c>
      <c r="C49">
        <v>1</v>
      </c>
      <c r="D49" t="s">
        <v>51</v>
      </c>
      <c r="E49">
        <v>-1</v>
      </c>
      <c r="F49" t="s">
        <v>52</v>
      </c>
      <c r="G49" s="61">
        <v>41350.842106481483</v>
      </c>
      <c r="H49" t="s">
        <v>104</v>
      </c>
      <c r="I49" t="s">
        <v>105</v>
      </c>
      <c r="J49" t="s">
        <v>54</v>
      </c>
      <c r="K49">
        <v>30</v>
      </c>
    </row>
    <row r="50" spans="1:11" x14ac:dyDescent="0.2">
      <c r="A50">
        <v>2</v>
      </c>
      <c r="B50" t="s">
        <v>50</v>
      </c>
      <c r="C50">
        <v>1</v>
      </c>
      <c r="D50" t="s">
        <v>51</v>
      </c>
      <c r="E50">
        <v>-1</v>
      </c>
      <c r="F50" t="s">
        <v>52</v>
      </c>
      <c r="G50" s="61">
        <v>41350.842106481483</v>
      </c>
      <c r="H50" t="s">
        <v>106</v>
      </c>
      <c r="I50" t="s">
        <v>110</v>
      </c>
      <c r="K50">
        <v>1227</v>
      </c>
    </row>
    <row r="51" spans="1:11" x14ac:dyDescent="0.2">
      <c r="A51">
        <v>2</v>
      </c>
      <c r="B51" t="s">
        <v>50</v>
      </c>
      <c r="C51">
        <v>1</v>
      </c>
      <c r="D51" t="s">
        <v>51</v>
      </c>
      <c r="E51">
        <v>-1</v>
      </c>
      <c r="F51" t="s">
        <v>52</v>
      </c>
      <c r="G51" s="61">
        <v>41350.842106481483</v>
      </c>
      <c r="H51" t="s">
        <v>106</v>
      </c>
      <c r="I51" t="s">
        <v>110</v>
      </c>
      <c r="K51">
        <v>1227</v>
      </c>
    </row>
    <row r="52" spans="1:11" x14ac:dyDescent="0.2">
      <c r="A52">
        <v>2</v>
      </c>
      <c r="B52" t="s">
        <v>50</v>
      </c>
      <c r="C52">
        <v>1</v>
      </c>
      <c r="D52" t="s">
        <v>51</v>
      </c>
      <c r="E52">
        <v>-1</v>
      </c>
      <c r="F52" t="s">
        <v>52</v>
      </c>
      <c r="G52" s="61">
        <v>41350.842106481483</v>
      </c>
      <c r="H52" t="s">
        <v>106</v>
      </c>
      <c r="I52" t="s">
        <v>109</v>
      </c>
      <c r="K52">
        <v>1773</v>
      </c>
    </row>
    <row r="53" spans="1:11" x14ac:dyDescent="0.2">
      <c r="A53">
        <v>2</v>
      </c>
      <c r="B53" t="s">
        <v>50</v>
      </c>
      <c r="C53">
        <v>1</v>
      </c>
      <c r="D53" t="s">
        <v>51</v>
      </c>
      <c r="E53">
        <v>-1</v>
      </c>
      <c r="F53" t="s">
        <v>52</v>
      </c>
      <c r="G53" s="61">
        <v>41350.842106481483</v>
      </c>
      <c r="H53" t="s">
        <v>106</v>
      </c>
      <c r="I53" t="s">
        <v>109</v>
      </c>
      <c r="K53">
        <v>1773</v>
      </c>
    </row>
    <row r="54" spans="1:11" x14ac:dyDescent="0.2">
      <c r="A54">
        <v>2</v>
      </c>
      <c r="B54" t="s">
        <v>50</v>
      </c>
      <c r="C54">
        <v>1</v>
      </c>
      <c r="D54" t="s">
        <v>51</v>
      </c>
      <c r="E54">
        <v>-1</v>
      </c>
      <c r="F54" t="s">
        <v>52</v>
      </c>
      <c r="G54" s="61">
        <v>41350.842106481483</v>
      </c>
      <c r="H54" t="s">
        <v>106</v>
      </c>
      <c r="I54" t="s">
        <v>108</v>
      </c>
      <c r="K54">
        <v>2296</v>
      </c>
    </row>
    <row r="55" spans="1:11" x14ac:dyDescent="0.2">
      <c r="A55">
        <v>2</v>
      </c>
      <c r="B55" t="s">
        <v>50</v>
      </c>
      <c r="C55">
        <v>1</v>
      </c>
      <c r="D55" t="s">
        <v>51</v>
      </c>
      <c r="E55">
        <v>-1</v>
      </c>
      <c r="F55" t="s">
        <v>52</v>
      </c>
      <c r="G55" s="61">
        <v>41350.842106481483</v>
      </c>
      <c r="H55" t="s">
        <v>106</v>
      </c>
      <c r="I55" t="s">
        <v>108</v>
      </c>
      <c r="K55">
        <v>2296</v>
      </c>
    </row>
    <row r="56" spans="1:11" x14ac:dyDescent="0.2">
      <c r="A56">
        <v>2</v>
      </c>
      <c r="B56" t="s">
        <v>50</v>
      </c>
      <c r="C56">
        <v>1</v>
      </c>
      <c r="D56" t="s">
        <v>51</v>
      </c>
      <c r="E56">
        <v>-1</v>
      </c>
      <c r="F56" t="s">
        <v>52</v>
      </c>
      <c r="G56" s="61">
        <v>41350.842106481483</v>
      </c>
      <c r="H56" t="s">
        <v>106</v>
      </c>
      <c r="I56" t="s">
        <v>107</v>
      </c>
      <c r="K56">
        <v>2668</v>
      </c>
    </row>
    <row r="57" spans="1:11" x14ac:dyDescent="0.2">
      <c r="A57">
        <v>2</v>
      </c>
      <c r="B57" t="s">
        <v>50</v>
      </c>
      <c r="C57">
        <v>1</v>
      </c>
      <c r="D57" t="s">
        <v>51</v>
      </c>
      <c r="E57">
        <v>-1</v>
      </c>
      <c r="F57" t="s">
        <v>52</v>
      </c>
      <c r="G57" s="61">
        <v>41350.842106481483</v>
      </c>
      <c r="H57" t="s">
        <v>106</v>
      </c>
      <c r="I57" t="s">
        <v>107</v>
      </c>
      <c r="K57">
        <v>2668</v>
      </c>
    </row>
    <row r="58" spans="1:11" x14ac:dyDescent="0.2">
      <c r="A58">
        <v>2</v>
      </c>
      <c r="B58" t="s">
        <v>50</v>
      </c>
      <c r="C58">
        <v>1</v>
      </c>
      <c r="D58" t="s">
        <v>51</v>
      </c>
      <c r="E58">
        <v>-1</v>
      </c>
      <c r="F58" t="s">
        <v>52</v>
      </c>
      <c r="G58" s="61">
        <v>41350.842106481483</v>
      </c>
      <c r="H58" t="s">
        <v>106</v>
      </c>
      <c r="I58" t="s">
        <v>110</v>
      </c>
      <c r="K58">
        <v>3401</v>
      </c>
    </row>
    <row r="59" spans="1:11" x14ac:dyDescent="0.2">
      <c r="A59">
        <v>2</v>
      </c>
      <c r="B59" t="s">
        <v>50</v>
      </c>
      <c r="C59">
        <v>1</v>
      </c>
      <c r="D59" t="s">
        <v>51</v>
      </c>
      <c r="E59">
        <v>-1</v>
      </c>
      <c r="F59" t="s">
        <v>52</v>
      </c>
      <c r="G59" s="61">
        <v>41350.842106481483</v>
      </c>
      <c r="H59" t="s">
        <v>106</v>
      </c>
      <c r="I59" t="s">
        <v>110</v>
      </c>
      <c r="K59">
        <v>3401</v>
      </c>
    </row>
    <row r="60" spans="1:11" x14ac:dyDescent="0.2">
      <c r="A60">
        <v>2</v>
      </c>
      <c r="B60" t="s">
        <v>50</v>
      </c>
      <c r="C60">
        <v>1</v>
      </c>
      <c r="D60" t="s">
        <v>51</v>
      </c>
      <c r="E60">
        <v>-1</v>
      </c>
      <c r="F60" t="s">
        <v>52</v>
      </c>
      <c r="G60" s="61">
        <v>41350.842106481483</v>
      </c>
      <c r="H60" t="s">
        <v>106</v>
      </c>
      <c r="I60" t="s">
        <v>107</v>
      </c>
      <c r="K60">
        <v>4183</v>
      </c>
    </row>
    <row r="61" spans="1:11" x14ac:dyDescent="0.2">
      <c r="A61">
        <v>2</v>
      </c>
      <c r="B61" t="s">
        <v>50</v>
      </c>
      <c r="C61">
        <v>1</v>
      </c>
      <c r="D61" t="s">
        <v>51</v>
      </c>
      <c r="E61">
        <v>-1</v>
      </c>
      <c r="F61" t="s">
        <v>52</v>
      </c>
      <c r="G61" s="61">
        <v>41350.842106481483</v>
      </c>
      <c r="H61" t="s">
        <v>106</v>
      </c>
      <c r="I61" t="s">
        <v>107</v>
      </c>
      <c r="K61">
        <v>4184</v>
      </c>
    </row>
    <row r="62" spans="1:11" x14ac:dyDescent="0.2">
      <c r="A62">
        <v>2</v>
      </c>
      <c r="B62" t="s">
        <v>50</v>
      </c>
      <c r="C62">
        <v>1</v>
      </c>
      <c r="D62" t="s">
        <v>51</v>
      </c>
      <c r="E62">
        <v>-1</v>
      </c>
      <c r="F62" t="s">
        <v>52</v>
      </c>
      <c r="G62" s="61">
        <v>41350.842106481483</v>
      </c>
      <c r="H62" t="s">
        <v>111</v>
      </c>
      <c r="I62" t="s">
        <v>52</v>
      </c>
      <c r="J62" t="s">
        <v>112</v>
      </c>
      <c r="K62">
        <v>5029</v>
      </c>
    </row>
    <row r="63" spans="1:11" x14ac:dyDescent="0.2">
      <c r="A63">
        <v>2</v>
      </c>
      <c r="B63" t="s">
        <v>50</v>
      </c>
      <c r="C63">
        <v>1</v>
      </c>
      <c r="D63" t="s">
        <v>51</v>
      </c>
      <c r="E63">
        <v>-1</v>
      </c>
      <c r="F63" t="s">
        <v>52</v>
      </c>
      <c r="G63" s="61">
        <v>41350.842106481483</v>
      </c>
      <c r="H63" t="s">
        <v>55</v>
      </c>
      <c r="I63" t="s">
        <v>52</v>
      </c>
      <c r="J63" t="s">
        <v>112</v>
      </c>
      <c r="K63">
        <v>5228</v>
      </c>
    </row>
    <row r="64" spans="1:11" x14ac:dyDescent="0.2">
      <c r="A64">
        <v>2</v>
      </c>
      <c r="B64" t="s">
        <v>50</v>
      </c>
      <c r="C64">
        <v>1</v>
      </c>
      <c r="D64" t="s">
        <v>51</v>
      </c>
      <c r="E64">
        <v>-1</v>
      </c>
      <c r="F64" t="s">
        <v>52</v>
      </c>
      <c r="G64" s="61">
        <v>41350.842106481483</v>
      </c>
      <c r="H64" t="s">
        <v>56</v>
      </c>
      <c r="I64" t="s">
        <v>52</v>
      </c>
      <c r="J64" t="s">
        <v>112</v>
      </c>
      <c r="K64">
        <v>5526</v>
      </c>
    </row>
    <row r="65" spans="1:11" x14ac:dyDescent="0.2">
      <c r="A65">
        <v>2</v>
      </c>
      <c r="B65" t="s">
        <v>50</v>
      </c>
      <c r="C65">
        <v>1</v>
      </c>
      <c r="D65" t="s">
        <v>51</v>
      </c>
      <c r="E65">
        <v>-1</v>
      </c>
      <c r="F65" t="s">
        <v>52</v>
      </c>
      <c r="G65" s="61">
        <v>41350.842106481483</v>
      </c>
      <c r="H65" t="s">
        <v>113</v>
      </c>
      <c r="I65" t="s">
        <v>113</v>
      </c>
      <c r="J65" t="s">
        <v>113</v>
      </c>
      <c r="K65">
        <v>6574</v>
      </c>
    </row>
    <row r="66" spans="1:11" x14ac:dyDescent="0.2">
      <c r="A66">
        <v>2</v>
      </c>
      <c r="B66" t="s">
        <v>50</v>
      </c>
      <c r="C66">
        <v>1</v>
      </c>
      <c r="D66" t="s">
        <v>51</v>
      </c>
      <c r="E66">
        <v>-1</v>
      </c>
      <c r="F66" t="s">
        <v>52</v>
      </c>
      <c r="G66" s="61">
        <v>41350.842106481483</v>
      </c>
      <c r="H66" t="s">
        <v>113</v>
      </c>
      <c r="I66" t="s">
        <v>114</v>
      </c>
      <c r="J66">
        <v>72</v>
      </c>
      <c r="K66">
        <v>8980</v>
      </c>
    </row>
    <row r="67" spans="1:11" x14ac:dyDescent="0.2">
      <c r="A67">
        <v>3</v>
      </c>
      <c r="B67" t="s">
        <v>50</v>
      </c>
      <c r="C67">
        <v>1</v>
      </c>
      <c r="D67" t="s">
        <v>51</v>
      </c>
      <c r="E67">
        <v>-1</v>
      </c>
      <c r="F67" t="s">
        <v>58</v>
      </c>
      <c r="G67" s="61">
        <v>41350.842303240737</v>
      </c>
      <c r="H67" t="s">
        <v>98</v>
      </c>
      <c r="I67" t="s">
        <v>99</v>
      </c>
      <c r="J67" t="s">
        <v>99</v>
      </c>
      <c r="K67">
        <v>31</v>
      </c>
    </row>
    <row r="68" spans="1:11" x14ac:dyDescent="0.2">
      <c r="A68">
        <v>3</v>
      </c>
      <c r="B68" t="s">
        <v>50</v>
      </c>
      <c r="C68">
        <v>1</v>
      </c>
      <c r="D68" t="s">
        <v>51</v>
      </c>
      <c r="E68">
        <v>-1</v>
      </c>
      <c r="F68" t="s">
        <v>58</v>
      </c>
      <c r="G68" s="61">
        <v>41350.842303240737</v>
      </c>
      <c r="H68" t="s">
        <v>44</v>
      </c>
      <c r="I68" t="s">
        <v>100</v>
      </c>
      <c r="J68">
        <v>1</v>
      </c>
      <c r="K68">
        <v>35</v>
      </c>
    </row>
    <row r="69" spans="1:11" x14ac:dyDescent="0.2">
      <c r="A69">
        <v>3</v>
      </c>
      <c r="B69" t="s">
        <v>50</v>
      </c>
      <c r="C69">
        <v>1</v>
      </c>
      <c r="D69" t="s">
        <v>51</v>
      </c>
      <c r="E69">
        <v>-1</v>
      </c>
      <c r="F69" t="s">
        <v>58</v>
      </c>
      <c r="G69" s="61">
        <v>41350.842303240737</v>
      </c>
      <c r="H69" t="s">
        <v>101</v>
      </c>
      <c r="I69" t="s">
        <v>102</v>
      </c>
      <c r="J69" t="s">
        <v>53</v>
      </c>
      <c r="K69">
        <v>35</v>
      </c>
    </row>
    <row r="70" spans="1:11" x14ac:dyDescent="0.2">
      <c r="A70">
        <v>3</v>
      </c>
      <c r="B70" t="s">
        <v>50</v>
      </c>
      <c r="C70">
        <v>1</v>
      </c>
      <c r="D70" t="s">
        <v>51</v>
      </c>
      <c r="E70">
        <v>-1</v>
      </c>
      <c r="F70" t="s">
        <v>58</v>
      </c>
      <c r="G70" s="61">
        <v>41350.842303240737</v>
      </c>
      <c r="H70" t="s">
        <v>101</v>
      </c>
      <c r="I70" t="s">
        <v>103</v>
      </c>
      <c r="J70" t="s">
        <v>57</v>
      </c>
      <c r="K70">
        <v>35</v>
      </c>
    </row>
    <row r="71" spans="1:11" x14ac:dyDescent="0.2">
      <c r="A71">
        <v>3</v>
      </c>
      <c r="B71" t="s">
        <v>50</v>
      </c>
      <c r="C71">
        <v>1</v>
      </c>
      <c r="D71" t="s">
        <v>51</v>
      </c>
      <c r="E71">
        <v>-1</v>
      </c>
      <c r="F71" t="s">
        <v>58</v>
      </c>
      <c r="G71" s="61">
        <v>41350.842303240737</v>
      </c>
      <c r="H71" t="s">
        <v>104</v>
      </c>
      <c r="I71" t="s">
        <v>105</v>
      </c>
      <c r="J71" t="s">
        <v>54</v>
      </c>
      <c r="K71">
        <v>35</v>
      </c>
    </row>
    <row r="72" spans="1:11" x14ac:dyDescent="0.2">
      <c r="A72">
        <v>3</v>
      </c>
      <c r="B72" t="s">
        <v>50</v>
      </c>
      <c r="C72">
        <v>1</v>
      </c>
      <c r="D72" t="s">
        <v>51</v>
      </c>
      <c r="E72">
        <v>-1</v>
      </c>
      <c r="F72" t="s">
        <v>58</v>
      </c>
      <c r="G72" s="61">
        <v>41350.842303240737</v>
      </c>
      <c r="H72" t="s">
        <v>106</v>
      </c>
      <c r="I72" t="s">
        <v>108</v>
      </c>
      <c r="K72">
        <v>1394</v>
      </c>
    </row>
    <row r="73" spans="1:11" x14ac:dyDescent="0.2">
      <c r="A73">
        <v>3</v>
      </c>
      <c r="B73" t="s">
        <v>50</v>
      </c>
      <c r="C73">
        <v>1</v>
      </c>
      <c r="D73" t="s">
        <v>51</v>
      </c>
      <c r="E73">
        <v>-1</v>
      </c>
      <c r="F73" t="s">
        <v>58</v>
      </c>
      <c r="G73" s="61">
        <v>41350.842303240737</v>
      </c>
      <c r="H73" t="s">
        <v>106</v>
      </c>
      <c r="I73" t="s">
        <v>108</v>
      </c>
      <c r="K73">
        <v>1394</v>
      </c>
    </row>
    <row r="74" spans="1:11" x14ac:dyDescent="0.2">
      <c r="A74">
        <v>3</v>
      </c>
      <c r="B74" t="s">
        <v>50</v>
      </c>
      <c r="C74">
        <v>1</v>
      </c>
      <c r="D74" t="s">
        <v>51</v>
      </c>
      <c r="E74">
        <v>-1</v>
      </c>
      <c r="F74" t="s">
        <v>58</v>
      </c>
      <c r="G74" s="61">
        <v>41350.842303240737</v>
      </c>
      <c r="H74" t="s">
        <v>106</v>
      </c>
      <c r="I74" t="s">
        <v>110</v>
      </c>
      <c r="K74">
        <v>2637</v>
      </c>
    </row>
    <row r="75" spans="1:11" x14ac:dyDescent="0.2">
      <c r="A75">
        <v>3</v>
      </c>
      <c r="B75" t="s">
        <v>50</v>
      </c>
      <c r="C75">
        <v>1</v>
      </c>
      <c r="D75" t="s">
        <v>51</v>
      </c>
      <c r="E75">
        <v>-1</v>
      </c>
      <c r="F75" t="s">
        <v>58</v>
      </c>
      <c r="G75" s="61">
        <v>41350.842303240737</v>
      </c>
      <c r="H75" t="s">
        <v>106</v>
      </c>
      <c r="I75" t="s">
        <v>110</v>
      </c>
      <c r="K75">
        <v>2637</v>
      </c>
    </row>
    <row r="76" spans="1:11" x14ac:dyDescent="0.2">
      <c r="A76">
        <v>3</v>
      </c>
      <c r="B76" t="s">
        <v>50</v>
      </c>
      <c r="C76">
        <v>1</v>
      </c>
      <c r="D76" t="s">
        <v>51</v>
      </c>
      <c r="E76">
        <v>-1</v>
      </c>
      <c r="F76" t="s">
        <v>58</v>
      </c>
      <c r="G76" s="61">
        <v>41350.842303240737</v>
      </c>
      <c r="H76" t="s">
        <v>106</v>
      </c>
      <c r="I76" t="s">
        <v>110</v>
      </c>
      <c r="K76">
        <v>3383</v>
      </c>
    </row>
    <row r="77" spans="1:11" x14ac:dyDescent="0.2">
      <c r="A77">
        <v>3</v>
      </c>
      <c r="B77" t="s">
        <v>50</v>
      </c>
      <c r="C77">
        <v>1</v>
      </c>
      <c r="D77" t="s">
        <v>51</v>
      </c>
      <c r="E77">
        <v>-1</v>
      </c>
      <c r="F77" t="s">
        <v>58</v>
      </c>
      <c r="G77" s="61">
        <v>41350.842303240737</v>
      </c>
      <c r="H77" t="s">
        <v>106</v>
      </c>
      <c r="I77" t="s">
        <v>110</v>
      </c>
      <c r="K77">
        <v>3383</v>
      </c>
    </row>
    <row r="78" spans="1:11" x14ac:dyDescent="0.2">
      <c r="A78">
        <v>3</v>
      </c>
      <c r="B78" t="s">
        <v>50</v>
      </c>
      <c r="C78">
        <v>1</v>
      </c>
      <c r="D78" t="s">
        <v>51</v>
      </c>
      <c r="E78">
        <v>-1</v>
      </c>
      <c r="F78" t="s">
        <v>58</v>
      </c>
      <c r="G78" s="61">
        <v>41350.842303240737</v>
      </c>
      <c r="H78" t="s">
        <v>106</v>
      </c>
      <c r="I78" t="s">
        <v>109</v>
      </c>
      <c r="K78">
        <v>3982</v>
      </c>
    </row>
    <row r="79" spans="1:11" x14ac:dyDescent="0.2">
      <c r="A79">
        <v>3</v>
      </c>
      <c r="B79" t="s">
        <v>50</v>
      </c>
      <c r="C79">
        <v>1</v>
      </c>
      <c r="D79" t="s">
        <v>51</v>
      </c>
      <c r="E79">
        <v>-1</v>
      </c>
      <c r="F79" t="s">
        <v>58</v>
      </c>
      <c r="G79" s="61">
        <v>41350.842303240737</v>
      </c>
      <c r="H79" t="s">
        <v>106</v>
      </c>
      <c r="I79" t="s">
        <v>109</v>
      </c>
      <c r="K79">
        <v>3982</v>
      </c>
    </row>
    <row r="80" spans="1:11" x14ac:dyDescent="0.2">
      <c r="A80">
        <v>3</v>
      </c>
      <c r="B80" t="s">
        <v>50</v>
      </c>
      <c r="C80">
        <v>1</v>
      </c>
      <c r="D80" t="s">
        <v>51</v>
      </c>
      <c r="E80">
        <v>-1</v>
      </c>
      <c r="F80" t="s">
        <v>58</v>
      </c>
      <c r="G80" s="61">
        <v>41350.842303240737</v>
      </c>
      <c r="H80" t="s">
        <v>106</v>
      </c>
      <c r="I80" t="s">
        <v>107</v>
      </c>
      <c r="K80">
        <v>4776</v>
      </c>
    </row>
    <row r="81" spans="1:11" x14ac:dyDescent="0.2">
      <c r="A81">
        <v>3</v>
      </c>
      <c r="B81" t="s">
        <v>50</v>
      </c>
      <c r="C81">
        <v>1</v>
      </c>
      <c r="D81" t="s">
        <v>51</v>
      </c>
      <c r="E81">
        <v>-1</v>
      </c>
      <c r="F81" t="s">
        <v>58</v>
      </c>
      <c r="G81" s="61">
        <v>41350.842303240737</v>
      </c>
      <c r="H81" t="s">
        <v>106</v>
      </c>
      <c r="I81" t="s">
        <v>107</v>
      </c>
      <c r="K81">
        <v>4776</v>
      </c>
    </row>
    <row r="82" spans="1:11" x14ac:dyDescent="0.2">
      <c r="A82">
        <v>3</v>
      </c>
      <c r="B82" t="s">
        <v>50</v>
      </c>
      <c r="C82">
        <v>1</v>
      </c>
      <c r="D82" t="s">
        <v>51</v>
      </c>
      <c r="E82">
        <v>-1</v>
      </c>
      <c r="F82" t="s">
        <v>58</v>
      </c>
      <c r="G82" s="61">
        <v>41350.842303240737</v>
      </c>
      <c r="H82" t="s">
        <v>106</v>
      </c>
      <c r="I82" t="s">
        <v>110</v>
      </c>
      <c r="K82">
        <v>5638</v>
      </c>
    </row>
    <row r="83" spans="1:11" x14ac:dyDescent="0.2">
      <c r="A83">
        <v>3</v>
      </c>
      <c r="B83" t="s">
        <v>50</v>
      </c>
      <c r="C83">
        <v>1</v>
      </c>
      <c r="D83" t="s">
        <v>51</v>
      </c>
      <c r="E83">
        <v>-1</v>
      </c>
      <c r="F83" t="s">
        <v>58</v>
      </c>
      <c r="G83" s="61">
        <v>41350.842303240737</v>
      </c>
      <c r="H83" t="s">
        <v>106</v>
      </c>
      <c r="I83" t="s">
        <v>110</v>
      </c>
      <c r="K83">
        <v>5638</v>
      </c>
    </row>
    <row r="84" spans="1:11" x14ac:dyDescent="0.2">
      <c r="A84">
        <v>3</v>
      </c>
      <c r="B84" t="s">
        <v>50</v>
      </c>
      <c r="C84">
        <v>1</v>
      </c>
      <c r="D84" t="s">
        <v>51</v>
      </c>
      <c r="E84">
        <v>-1</v>
      </c>
      <c r="F84" t="s">
        <v>58</v>
      </c>
      <c r="G84" s="61">
        <v>41350.842303240737</v>
      </c>
      <c r="H84" t="s">
        <v>111</v>
      </c>
      <c r="I84" t="s">
        <v>58</v>
      </c>
      <c r="J84" t="s">
        <v>115</v>
      </c>
      <c r="K84">
        <v>6838</v>
      </c>
    </row>
    <row r="85" spans="1:11" x14ac:dyDescent="0.2">
      <c r="A85">
        <v>3</v>
      </c>
      <c r="B85" t="s">
        <v>50</v>
      </c>
      <c r="C85">
        <v>1</v>
      </c>
      <c r="D85" t="s">
        <v>51</v>
      </c>
      <c r="E85">
        <v>-1</v>
      </c>
      <c r="F85" t="s">
        <v>58</v>
      </c>
      <c r="G85" s="61">
        <v>41350.842303240737</v>
      </c>
      <c r="H85" t="s">
        <v>55</v>
      </c>
      <c r="I85" t="s">
        <v>58</v>
      </c>
      <c r="J85" t="s">
        <v>112</v>
      </c>
      <c r="K85">
        <v>7138</v>
      </c>
    </row>
    <row r="86" spans="1:11" x14ac:dyDescent="0.2">
      <c r="A86">
        <v>3</v>
      </c>
      <c r="B86" t="s">
        <v>50</v>
      </c>
      <c r="C86">
        <v>1</v>
      </c>
      <c r="D86" t="s">
        <v>51</v>
      </c>
      <c r="E86">
        <v>-1</v>
      </c>
      <c r="F86" t="s">
        <v>58</v>
      </c>
      <c r="G86" s="61">
        <v>41350.842303240737</v>
      </c>
      <c r="H86" t="s">
        <v>56</v>
      </c>
      <c r="I86" t="s">
        <v>58</v>
      </c>
      <c r="J86" t="s">
        <v>115</v>
      </c>
      <c r="K86">
        <v>7497</v>
      </c>
    </row>
    <row r="87" spans="1:11" x14ac:dyDescent="0.2">
      <c r="A87">
        <v>3</v>
      </c>
      <c r="B87" t="s">
        <v>50</v>
      </c>
      <c r="C87">
        <v>1</v>
      </c>
      <c r="D87" t="s">
        <v>51</v>
      </c>
      <c r="E87">
        <v>-1</v>
      </c>
      <c r="F87" t="s">
        <v>58</v>
      </c>
      <c r="G87" s="61">
        <v>41350.842303240737</v>
      </c>
      <c r="H87" t="s">
        <v>113</v>
      </c>
      <c r="I87" t="s">
        <v>113</v>
      </c>
      <c r="J87" t="s">
        <v>113</v>
      </c>
      <c r="K87">
        <v>8508</v>
      </c>
    </row>
    <row r="88" spans="1:11" x14ac:dyDescent="0.2">
      <c r="A88">
        <v>3</v>
      </c>
      <c r="B88" t="s">
        <v>50</v>
      </c>
      <c r="C88">
        <v>1</v>
      </c>
      <c r="D88" t="s">
        <v>51</v>
      </c>
      <c r="E88">
        <v>-1</v>
      </c>
      <c r="F88" t="s">
        <v>58</v>
      </c>
      <c r="G88" s="61">
        <v>41350.842303240737</v>
      </c>
      <c r="H88" t="s">
        <v>113</v>
      </c>
      <c r="I88" t="s">
        <v>114</v>
      </c>
      <c r="J88">
        <v>42</v>
      </c>
      <c r="K88">
        <v>15323</v>
      </c>
    </row>
    <row r="89" spans="1:11" x14ac:dyDescent="0.2">
      <c r="A89">
        <v>4</v>
      </c>
      <c r="B89" t="s">
        <v>50</v>
      </c>
      <c r="C89">
        <v>1</v>
      </c>
      <c r="D89" t="s">
        <v>51</v>
      </c>
      <c r="E89">
        <v>-1</v>
      </c>
      <c r="F89" t="s">
        <v>58</v>
      </c>
      <c r="G89" s="61">
        <v>41350.842430555553</v>
      </c>
      <c r="H89" t="s">
        <v>98</v>
      </c>
      <c r="I89" t="s">
        <v>99</v>
      </c>
      <c r="J89" t="s">
        <v>99</v>
      </c>
      <c r="K89">
        <v>30</v>
      </c>
    </row>
    <row r="90" spans="1:11" x14ac:dyDescent="0.2">
      <c r="A90">
        <v>4</v>
      </c>
      <c r="B90" t="s">
        <v>50</v>
      </c>
      <c r="C90">
        <v>1</v>
      </c>
      <c r="D90" t="s">
        <v>51</v>
      </c>
      <c r="E90">
        <v>-1</v>
      </c>
      <c r="F90" t="s">
        <v>58</v>
      </c>
      <c r="G90" s="61">
        <v>41350.842430555553</v>
      </c>
      <c r="H90" t="s">
        <v>44</v>
      </c>
      <c r="I90" t="s">
        <v>100</v>
      </c>
      <c r="J90">
        <v>0</v>
      </c>
      <c r="K90">
        <v>34</v>
      </c>
    </row>
    <row r="91" spans="1:11" x14ac:dyDescent="0.2">
      <c r="A91">
        <v>4</v>
      </c>
      <c r="B91" t="s">
        <v>50</v>
      </c>
      <c r="C91">
        <v>1</v>
      </c>
      <c r="D91" t="s">
        <v>51</v>
      </c>
      <c r="E91">
        <v>-1</v>
      </c>
      <c r="F91" t="s">
        <v>58</v>
      </c>
      <c r="G91" s="61">
        <v>41350.842430555553</v>
      </c>
      <c r="H91" t="s">
        <v>101</v>
      </c>
      <c r="I91" t="s">
        <v>102</v>
      </c>
      <c r="J91" t="s">
        <v>53</v>
      </c>
      <c r="K91">
        <v>34</v>
      </c>
    </row>
    <row r="92" spans="1:11" x14ac:dyDescent="0.2">
      <c r="A92">
        <v>4</v>
      </c>
      <c r="B92" t="s">
        <v>50</v>
      </c>
      <c r="C92">
        <v>1</v>
      </c>
      <c r="D92" t="s">
        <v>51</v>
      </c>
      <c r="E92">
        <v>-1</v>
      </c>
      <c r="F92" t="s">
        <v>58</v>
      </c>
      <c r="G92" s="61">
        <v>41350.842430555553</v>
      </c>
      <c r="H92" t="s">
        <v>101</v>
      </c>
      <c r="I92" t="s">
        <v>103</v>
      </c>
      <c r="J92" t="s">
        <v>53</v>
      </c>
      <c r="K92">
        <v>34</v>
      </c>
    </row>
    <row r="93" spans="1:11" x14ac:dyDescent="0.2">
      <c r="A93">
        <v>4</v>
      </c>
      <c r="B93" t="s">
        <v>50</v>
      </c>
      <c r="C93">
        <v>1</v>
      </c>
      <c r="D93" t="s">
        <v>51</v>
      </c>
      <c r="E93">
        <v>-1</v>
      </c>
      <c r="F93" t="s">
        <v>58</v>
      </c>
      <c r="G93" s="61">
        <v>41350.842430555553</v>
      </c>
      <c r="H93" t="s">
        <v>104</v>
      </c>
      <c r="I93" t="s">
        <v>105</v>
      </c>
      <c r="J93" t="s">
        <v>54</v>
      </c>
      <c r="K93">
        <v>34</v>
      </c>
    </row>
    <row r="94" spans="1:11" x14ac:dyDescent="0.2">
      <c r="A94">
        <v>4</v>
      </c>
      <c r="B94" t="s">
        <v>50</v>
      </c>
      <c r="C94">
        <v>1</v>
      </c>
      <c r="D94" t="s">
        <v>51</v>
      </c>
      <c r="E94">
        <v>-1</v>
      </c>
      <c r="F94" t="s">
        <v>58</v>
      </c>
      <c r="G94" s="61">
        <v>41350.842430555553</v>
      </c>
      <c r="H94" t="s">
        <v>111</v>
      </c>
      <c r="I94" t="s">
        <v>58</v>
      </c>
      <c r="J94" t="s">
        <v>115</v>
      </c>
      <c r="K94">
        <v>892</v>
      </c>
    </row>
    <row r="95" spans="1:11" x14ac:dyDescent="0.2">
      <c r="A95">
        <v>4</v>
      </c>
      <c r="B95" t="s">
        <v>50</v>
      </c>
      <c r="C95">
        <v>1</v>
      </c>
      <c r="D95" t="s">
        <v>51</v>
      </c>
      <c r="E95">
        <v>-1</v>
      </c>
      <c r="F95" t="s">
        <v>58</v>
      </c>
      <c r="G95" s="61">
        <v>41350.842430555553</v>
      </c>
      <c r="H95" t="s">
        <v>56</v>
      </c>
      <c r="I95" t="s">
        <v>58</v>
      </c>
      <c r="J95" t="s">
        <v>115</v>
      </c>
      <c r="K95">
        <v>1173</v>
      </c>
    </row>
    <row r="96" spans="1:11" x14ac:dyDescent="0.2">
      <c r="A96">
        <v>4</v>
      </c>
      <c r="B96" t="s">
        <v>50</v>
      </c>
      <c r="C96">
        <v>1</v>
      </c>
      <c r="D96" t="s">
        <v>51</v>
      </c>
      <c r="E96">
        <v>-1</v>
      </c>
      <c r="F96" t="s">
        <v>58</v>
      </c>
      <c r="G96" s="61">
        <v>41350.842430555553</v>
      </c>
      <c r="H96" t="s">
        <v>106</v>
      </c>
      <c r="I96" t="s">
        <v>109</v>
      </c>
      <c r="K96">
        <v>1825</v>
      </c>
    </row>
    <row r="97" spans="1:11" x14ac:dyDescent="0.2">
      <c r="A97">
        <v>4</v>
      </c>
      <c r="B97" t="s">
        <v>50</v>
      </c>
      <c r="C97">
        <v>1</v>
      </c>
      <c r="D97" t="s">
        <v>51</v>
      </c>
      <c r="E97">
        <v>-1</v>
      </c>
      <c r="F97" t="s">
        <v>58</v>
      </c>
      <c r="G97" s="61">
        <v>41350.842430555553</v>
      </c>
      <c r="H97" t="s">
        <v>106</v>
      </c>
      <c r="I97" t="s">
        <v>109</v>
      </c>
      <c r="K97">
        <v>1825</v>
      </c>
    </row>
    <row r="98" spans="1:11" x14ac:dyDescent="0.2">
      <c r="A98">
        <v>4</v>
      </c>
      <c r="B98" t="s">
        <v>50</v>
      </c>
      <c r="C98">
        <v>1</v>
      </c>
      <c r="D98" t="s">
        <v>51</v>
      </c>
      <c r="E98">
        <v>-1</v>
      </c>
      <c r="F98" t="s">
        <v>58</v>
      </c>
      <c r="G98" s="61">
        <v>41350.842430555553</v>
      </c>
      <c r="H98" t="s">
        <v>106</v>
      </c>
      <c r="I98" t="s">
        <v>110</v>
      </c>
      <c r="K98">
        <v>2770</v>
      </c>
    </row>
    <row r="99" spans="1:11" x14ac:dyDescent="0.2">
      <c r="A99">
        <v>4</v>
      </c>
      <c r="B99" t="s">
        <v>50</v>
      </c>
      <c r="C99">
        <v>1</v>
      </c>
      <c r="D99" t="s">
        <v>51</v>
      </c>
      <c r="E99">
        <v>-1</v>
      </c>
      <c r="F99" t="s">
        <v>58</v>
      </c>
      <c r="G99" s="61">
        <v>41350.842430555553</v>
      </c>
      <c r="H99" t="s">
        <v>106</v>
      </c>
      <c r="I99" t="s">
        <v>110</v>
      </c>
      <c r="K99">
        <v>2770</v>
      </c>
    </row>
    <row r="100" spans="1:11" x14ac:dyDescent="0.2">
      <c r="A100">
        <v>4</v>
      </c>
      <c r="B100" t="s">
        <v>50</v>
      </c>
      <c r="C100">
        <v>1</v>
      </c>
      <c r="D100" t="s">
        <v>51</v>
      </c>
      <c r="E100">
        <v>-1</v>
      </c>
      <c r="F100" t="s">
        <v>58</v>
      </c>
      <c r="G100" s="61">
        <v>41350.842430555553</v>
      </c>
      <c r="H100" t="s">
        <v>106</v>
      </c>
      <c r="I100" t="s">
        <v>107</v>
      </c>
      <c r="K100">
        <v>3267</v>
      </c>
    </row>
    <row r="101" spans="1:11" x14ac:dyDescent="0.2">
      <c r="A101">
        <v>4</v>
      </c>
      <c r="B101" t="s">
        <v>50</v>
      </c>
      <c r="C101">
        <v>1</v>
      </c>
      <c r="D101" t="s">
        <v>51</v>
      </c>
      <c r="E101">
        <v>-1</v>
      </c>
      <c r="F101" t="s">
        <v>58</v>
      </c>
      <c r="G101" s="61">
        <v>41350.842430555553</v>
      </c>
      <c r="H101" t="s">
        <v>106</v>
      </c>
      <c r="I101" t="s">
        <v>107</v>
      </c>
      <c r="K101">
        <v>3268</v>
      </c>
    </row>
    <row r="102" spans="1:11" x14ac:dyDescent="0.2">
      <c r="A102">
        <v>4</v>
      </c>
      <c r="B102" t="s">
        <v>50</v>
      </c>
      <c r="C102">
        <v>1</v>
      </c>
      <c r="D102" t="s">
        <v>51</v>
      </c>
      <c r="E102">
        <v>-1</v>
      </c>
      <c r="F102" t="s">
        <v>58</v>
      </c>
      <c r="G102" s="61">
        <v>41350.842430555553</v>
      </c>
      <c r="H102" t="s">
        <v>106</v>
      </c>
      <c r="I102" t="s">
        <v>108</v>
      </c>
      <c r="K102">
        <v>4435</v>
      </c>
    </row>
    <row r="103" spans="1:11" x14ac:dyDescent="0.2">
      <c r="A103">
        <v>4</v>
      </c>
      <c r="B103" t="s">
        <v>50</v>
      </c>
      <c r="C103">
        <v>1</v>
      </c>
      <c r="D103" t="s">
        <v>51</v>
      </c>
      <c r="E103">
        <v>-1</v>
      </c>
      <c r="F103" t="s">
        <v>58</v>
      </c>
      <c r="G103" s="61">
        <v>41350.842430555553</v>
      </c>
      <c r="H103" t="s">
        <v>106</v>
      </c>
      <c r="I103" t="s">
        <v>108</v>
      </c>
      <c r="K103">
        <v>4435</v>
      </c>
    </row>
    <row r="104" spans="1:11" x14ac:dyDescent="0.2">
      <c r="A104">
        <v>4</v>
      </c>
      <c r="B104" t="s">
        <v>50</v>
      </c>
      <c r="C104">
        <v>1</v>
      </c>
      <c r="D104" t="s">
        <v>51</v>
      </c>
      <c r="E104">
        <v>-1</v>
      </c>
      <c r="F104" t="s">
        <v>58</v>
      </c>
      <c r="G104" s="61">
        <v>41350.842430555553</v>
      </c>
      <c r="H104" t="s">
        <v>111</v>
      </c>
      <c r="I104" t="s">
        <v>58</v>
      </c>
      <c r="J104" t="s">
        <v>115</v>
      </c>
      <c r="K104">
        <v>5977</v>
      </c>
    </row>
    <row r="105" spans="1:11" x14ac:dyDescent="0.2">
      <c r="A105">
        <v>4</v>
      </c>
      <c r="B105" t="s">
        <v>50</v>
      </c>
      <c r="C105">
        <v>1</v>
      </c>
      <c r="D105" t="s">
        <v>51</v>
      </c>
      <c r="E105">
        <v>-1</v>
      </c>
      <c r="F105" t="s">
        <v>58</v>
      </c>
      <c r="G105" s="61">
        <v>41350.842430555553</v>
      </c>
      <c r="H105" t="s">
        <v>55</v>
      </c>
      <c r="I105" t="s">
        <v>58</v>
      </c>
      <c r="J105" t="s">
        <v>115</v>
      </c>
      <c r="K105">
        <v>6363</v>
      </c>
    </row>
    <row r="106" spans="1:11" x14ac:dyDescent="0.2">
      <c r="A106">
        <v>4</v>
      </c>
      <c r="B106" t="s">
        <v>50</v>
      </c>
      <c r="C106">
        <v>1</v>
      </c>
      <c r="D106" t="s">
        <v>51</v>
      </c>
      <c r="E106">
        <v>-1</v>
      </c>
      <c r="F106" t="s">
        <v>58</v>
      </c>
      <c r="G106" s="61">
        <v>41350.842430555553</v>
      </c>
      <c r="H106" t="s">
        <v>56</v>
      </c>
      <c r="I106" t="s">
        <v>58</v>
      </c>
      <c r="J106" t="s">
        <v>115</v>
      </c>
      <c r="K106">
        <v>6611</v>
      </c>
    </row>
    <row r="107" spans="1:11" x14ac:dyDescent="0.2">
      <c r="A107">
        <v>4</v>
      </c>
      <c r="B107" t="s">
        <v>50</v>
      </c>
      <c r="C107">
        <v>1</v>
      </c>
      <c r="D107" t="s">
        <v>51</v>
      </c>
      <c r="E107">
        <v>-1</v>
      </c>
      <c r="F107" t="s">
        <v>58</v>
      </c>
      <c r="G107" s="61">
        <v>41350.842430555553</v>
      </c>
      <c r="H107" t="s">
        <v>113</v>
      </c>
      <c r="I107" t="s">
        <v>113</v>
      </c>
      <c r="J107" t="s">
        <v>113</v>
      </c>
      <c r="K107">
        <v>7273</v>
      </c>
    </row>
    <row r="108" spans="1:11" x14ac:dyDescent="0.2">
      <c r="A108">
        <v>4</v>
      </c>
      <c r="B108" t="s">
        <v>50</v>
      </c>
      <c r="C108">
        <v>1</v>
      </c>
      <c r="D108" t="s">
        <v>51</v>
      </c>
      <c r="E108">
        <v>-1</v>
      </c>
      <c r="F108" t="s">
        <v>58</v>
      </c>
      <c r="G108" s="61">
        <v>41350.842430555553</v>
      </c>
      <c r="H108" t="s">
        <v>113</v>
      </c>
      <c r="I108" t="s">
        <v>114</v>
      </c>
      <c r="J108">
        <v>0</v>
      </c>
      <c r="K108">
        <v>10190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Grundspiele</vt:lpstr>
      <vt:lpstr>Matrix</vt:lpstr>
      <vt:lpstr>Experimentübersicht</vt:lpstr>
      <vt:lpstr>Berechnung</vt:lpstr>
      <vt:lpstr>Ergebnis</vt:lpstr>
      <vt:lpstr>Tabelle1</vt:lpstr>
      <vt:lpstr>Auswahl</vt:lpstr>
      <vt:lpstr>Liste</vt:lpstr>
      <vt:lpstr>Spiele</vt:lpstr>
    </vt:vector>
  </TitlesOfParts>
  <Company>Bundeswehr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Kremer, Marco</dc:creator>
  <cp:lastModifiedBy>Marco Kremer</cp:lastModifiedBy>
  <dcterms:created xsi:type="dcterms:W3CDTF">2012-08-23T05:43:34Z</dcterms:created>
  <dcterms:modified xsi:type="dcterms:W3CDTF">2013-03-17T19:21:12Z</dcterms:modified>
</cp:coreProperties>
</file>