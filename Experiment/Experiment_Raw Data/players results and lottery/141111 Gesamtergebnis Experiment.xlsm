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" yWindow="195" windowWidth="28515" windowHeight="12525" firstSheet="4" activeTab="7"/>
  </bookViews>
  <sheets>
    <sheet name="Ergebnis_V1" sheetId="1" r:id="rId1"/>
    <sheet name="Ergebnis_V2" sheetId="2" r:id="rId2"/>
    <sheet name="Ergebnis_V3" sheetId="3" r:id="rId3"/>
    <sheet name="Gesamtergebnis" sheetId="4" r:id="rId4"/>
    <sheet name="Gesamt_ACCESS" sheetId="5" r:id="rId5"/>
    <sheet name="Gesamtergebnis_mit_Code" sheetId="6" r:id="rId6"/>
    <sheet name="Tabelle1" sheetId="8" r:id="rId7"/>
    <sheet name="Tabelle2" sheetId="9" r:id="rId8"/>
  </sheets>
  <definedNames>
    <definedName name="_xlnm._FilterDatabase" localSheetId="4" hidden="1">Gesamt_ACCESS!$A$1:$G$269</definedName>
    <definedName name="_xlnm._FilterDatabase" localSheetId="5" hidden="1">Gesamtergebnis_mit_Code!$A$1:$O$262</definedName>
    <definedName name="_xlnm._FilterDatabase" localSheetId="7" hidden="1">Tabelle2!$D$1:$X$262</definedName>
  </definedNames>
  <calcPr calcId="145621"/>
</workbook>
</file>

<file path=xl/calcChain.xml><?xml version="1.0" encoding="utf-8"?>
<calcChain xmlns="http://schemas.openxmlformats.org/spreadsheetml/2006/main">
  <c r="Q2" i="9" l="1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M116" i="9"/>
  <c r="M117" i="9"/>
  <c r="M118" i="9"/>
  <c r="M119" i="9"/>
  <c r="M120" i="9"/>
  <c r="M121" i="9"/>
  <c r="M122" i="9"/>
  <c r="M123" i="9"/>
  <c r="M124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M175" i="9"/>
  <c r="M176" i="9"/>
  <c r="M177" i="9"/>
  <c r="M178" i="9"/>
  <c r="M179" i="9"/>
  <c r="M180" i="9"/>
  <c r="M181" i="9"/>
  <c r="M182" i="9"/>
  <c r="M183" i="9"/>
  <c r="M184" i="9"/>
  <c r="M185" i="9"/>
  <c r="M186" i="9"/>
  <c r="M187" i="9"/>
  <c r="M188" i="9"/>
  <c r="M189" i="9"/>
  <c r="M190" i="9"/>
  <c r="M191" i="9"/>
  <c r="M192" i="9"/>
  <c r="M193" i="9"/>
  <c r="M194" i="9"/>
  <c r="M195" i="9"/>
  <c r="M196" i="9"/>
  <c r="M197" i="9"/>
  <c r="M198" i="9"/>
  <c r="M199" i="9"/>
  <c r="M200" i="9"/>
  <c r="M201" i="9"/>
  <c r="M202" i="9"/>
  <c r="M203" i="9"/>
  <c r="M204" i="9"/>
  <c r="M205" i="9"/>
  <c r="M206" i="9"/>
  <c r="M207" i="9"/>
  <c r="M208" i="9"/>
  <c r="M209" i="9"/>
  <c r="M210" i="9"/>
  <c r="M211" i="9"/>
  <c r="M212" i="9"/>
  <c r="M213" i="9"/>
  <c r="M214" i="9"/>
  <c r="M215" i="9"/>
  <c r="M216" i="9"/>
  <c r="M217" i="9"/>
  <c r="M218" i="9"/>
  <c r="M219" i="9"/>
  <c r="M220" i="9"/>
  <c r="M221" i="9"/>
  <c r="M222" i="9"/>
  <c r="M223" i="9"/>
  <c r="M224" i="9"/>
  <c r="M225" i="9"/>
  <c r="M226" i="9"/>
  <c r="M227" i="9"/>
  <c r="M228" i="9"/>
  <c r="M229" i="9"/>
  <c r="M230" i="9"/>
  <c r="M231" i="9"/>
  <c r="M232" i="9"/>
  <c r="M233" i="9"/>
  <c r="M234" i="9"/>
  <c r="M235" i="9"/>
  <c r="M236" i="9"/>
  <c r="M237" i="9"/>
  <c r="M238" i="9"/>
  <c r="M239" i="9"/>
  <c r="M240" i="9"/>
  <c r="M241" i="9"/>
  <c r="M242" i="9"/>
  <c r="M243" i="9"/>
  <c r="M244" i="9"/>
  <c r="M245" i="9"/>
  <c r="M246" i="9"/>
  <c r="M247" i="9"/>
  <c r="M248" i="9"/>
  <c r="M249" i="9"/>
  <c r="M250" i="9"/>
  <c r="M251" i="9"/>
  <c r="M252" i="9"/>
  <c r="M253" i="9"/>
  <c r="M254" i="9"/>
  <c r="M255" i="9"/>
  <c r="M256" i="9"/>
  <c r="M257" i="9"/>
  <c r="M258" i="9"/>
  <c r="M259" i="9"/>
  <c r="M260" i="9"/>
  <c r="M261" i="9"/>
  <c r="M262" i="9"/>
  <c r="M2" i="9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67" i="9"/>
  <c r="P68" i="9"/>
  <c r="P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P93" i="9"/>
  <c r="P94" i="9"/>
  <c r="P95" i="9"/>
  <c r="P96" i="9"/>
  <c r="P97" i="9"/>
  <c r="P98" i="9"/>
  <c r="P99" i="9"/>
  <c r="P100" i="9"/>
  <c r="P101" i="9"/>
  <c r="P102" i="9"/>
  <c r="P103" i="9"/>
  <c r="P104" i="9"/>
  <c r="P105" i="9"/>
  <c r="P106" i="9"/>
  <c r="P107" i="9"/>
  <c r="P108" i="9"/>
  <c r="P109" i="9"/>
  <c r="P110" i="9"/>
  <c r="P111" i="9"/>
  <c r="P112" i="9"/>
  <c r="P113" i="9"/>
  <c r="P114" i="9"/>
  <c r="P115" i="9"/>
  <c r="P116" i="9"/>
  <c r="P117" i="9"/>
  <c r="P118" i="9"/>
  <c r="P119" i="9"/>
  <c r="P120" i="9"/>
  <c r="P121" i="9"/>
  <c r="P122" i="9"/>
  <c r="P123" i="9"/>
  <c r="P124" i="9"/>
  <c r="P125" i="9"/>
  <c r="P126" i="9"/>
  <c r="P127" i="9"/>
  <c r="P128" i="9"/>
  <c r="P129" i="9"/>
  <c r="P130" i="9"/>
  <c r="P131" i="9"/>
  <c r="P132" i="9"/>
  <c r="P133" i="9"/>
  <c r="P134" i="9"/>
  <c r="P135" i="9"/>
  <c r="P136" i="9"/>
  <c r="P137" i="9"/>
  <c r="P138" i="9"/>
  <c r="P139" i="9"/>
  <c r="P140" i="9"/>
  <c r="P141" i="9"/>
  <c r="P142" i="9"/>
  <c r="P143" i="9"/>
  <c r="P144" i="9"/>
  <c r="P145" i="9"/>
  <c r="P146" i="9"/>
  <c r="P147" i="9"/>
  <c r="P148" i="9"/>
  <c r="P149" i="9"/>
  <c r="P150" i="9"/>
  <c r="P151" i="9"/>
  <c r="P152" i="9"/>
  <c r="P153" i="9"/>
  <c r="P154" i="9"/>
  <c r="P155" i="9"/>
  <c r="P156" i="9"/>
  <c r="P157" i="9"/>
  <c r="P158" i="9"/>
  <c r="P159" i="9"/>
  <c r="P160" i="9"/>
  <c r="P161" i="9"/>
  <c r="P162" i="9"/>
  <c r="P163" i="9"/>
  <c r="P164" i="9"/>
  <c r="P165" i="9"/>
  <c r="P166" i="9"/>
  <c r="P167" i="9"/>
  <c r="P168" i="9"/>
  <c r="P169" i="9"/>
  <c r="P170" i="9"/>
  <c r="P171" i="9"/>
  <c r="P172" i="9"/>
  <c r="P173" i="9"/>
  <c r="P174" i="9"/>
  <c r="P175" i="9"/>
  <c r="P176" i="9"/>
  <c r="P177" i="9"/>
  <c r="P178" i="9"/>
  <c r="P179" i="9"/>
  <c r="P180" i="9"/>
  <c r="P181" i="9"/>
  <c r="P182" i="9"/>
  <c r="P183" i="9"/>
  <c r="P184" i="9"/>
  <c r="P185" i="9"/>
  <c r="P186" i="9"/>
  <c r="P187" i="9"/>
  <c r="P188" i="9"/>
  <c r="P189" i="9"/>
  <c r="P190" i="9"/>
  <c r="P191" i="9"/>
  <c r="P192" i="9"/>
  <c r="P193" i="9"/>
  <c r="P194" i="9"/>
  <c r="P195" i="9"/>
  <c r="P196" i="9"/>
  <c r="P197" i="9"/>
  <c r="P198" i="9"/>
  <c r="P199" i="9"/>
  <c r="P200" i="9"/>
  <c r="P201" i="9"/>
  <c r="P202" i="9"/>
  <c r="P203" i="9"/>
  <c r="P204" i="9"/>
  <c r="P205" i="9"/>
  <c r="P206" i="9"/>
  <c r="P207" i="9"/>
  <c r="P208" i="9"/>
  <c r="P209" i="9"/>
  <c r="P210" i="9"/>
  <c r="P211" i="9"/>
  <c r="P212" i="9"/>
  <c r="P213" i="9"/>
  <c r="P214" i="9"/>
  <c r="P215" i="9"/>
  <c r="P216" i="9"/>
  <c r="P217" i="9"/>
  <c r="P218" i="9"/>
  <c r="P219" i="9"/>
  <c r="P220" i="9"/>
  <c r="P221" i="9"/>
  <c r="P222" i="9"/>
  <c r="P223" i="9"/>
  <c r="P224" i="9"/>
  <c r="P225" i="9"/>
  <c r="P226" i="9"/>
  <c r="P227" i="9"/>
  <c r="P228" i="9"/>
  <c r="P229" i="9"/>
  <c r="P230" i="9"/>
  <c r="P231" i="9"/>
  <c r="P232" i="9"/>
  <c r="P233" i="9"/>
  <c r="P234" i="9"/>
  <c r="P235" i="9"/>
  <c r="P236" i="9"/>
  <c r="P237" i="9"/>
  <c r="P238" i="9"/>
  <c r="P239" i="9"/>
  <c r="P240" i="9"/>
  <c r="P241" i="9"/>
  <c r="P242" i="9"/>
  <c r="P243" i="9"/>
  <c r="P244" i="9"/>
  <c r="P245" i="9"/>
  <c r="P246" i="9"/>
  <c r="P247" i="9"/>
  <c r="P248" i="9"/>
  <c r="P249" i="9"/>
  <c r="P250" i="9"/>
  <c r="P251" i="9"/>
  <c r="P252" i="9"/>
  <c r="P253" i="9"/>
  <c r="P254" i="9"/>
  <c r="P255" i="9"/>
  <c r="P256" i="9"/>
  <c r="P257" i="9"/>
  <c r="P258" i="9"/>
  <c r="P259" i="9"/>
  <c r="P260" i="9"/>
  <c r="P261" i="9"/>
  <c r="P262" i="9"/>
  <c r="P2" i="9"/>
  <c r="O3" i="9"/>
  <c r="O4" i="9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O128" i="9"/>
  <c r="O129" i="9"/>
  <c r="O130" i="9"/>
  <c r="O131" i="9"/>
  <c r="O132" i="9"/>
  <c r="O133" i="9"/>
  <c r="O134" i="9"/>
  <c r="O135" i="9"/>
  <c r="O136" i="9"/>
  <c r="O137" i="9"/>
  <c r="O138" i="9"/>
  <c r="O139" i="9"/>
  <c r="O140" i="9"/>
  <c r="O141" i="9"/>
  <c r="O142" i="9"/>
  <c r="O143" i="9"/>
  <c r="O144" i="9"/>
  <c r="O145" i="9"/>
  <c r="O146" i="9"/>
  <c r="O147" i="9"/>
  <c r="O148" i="9"/>
  <c r="O149" i="9"/>
  <c r="O150" i="9"/>
  <c r="O151" i="9"/>
  <c r="O152" i="9"/>
  <c r="O153" i="9"/>
  <c r="O154" i="9"/>
  <c r="O155" i="9"/>
  <c r="O156" i="9"/>
  <c r="O157" i="9"/>
  <c r="O158" i="9"/>
  <c r="O159" i="9"/>
  <c r="O160" i="9"/>
  <c r="O161" i="9"/>
  <c r="O162" i="9"/>
  <c r="O163" i="9"/>
  <c r="O164" i="9"/>
  <c r="O165" i="9"/>
  <c r="O166" i="9"/>
  <c r="O167" i="9"/>
  <c r="O168" i="9"/>
  <c r="O169" i="9"/>
  <c r="O170" i="9"/>
  <c r="O171" i="9"/>
  <c r="O172" i="9"/>
  <c r="O173" i="9"/>
  <c r="O174" i="9"/>
  <c r="O175" i="9"/>
  <c r="O176" i="9"/>
  <c r="O177" i="9"/>
  <c r="O178" i="9"/>
  <c r="O179" i="9"/>
  <c r="O180" i="9"/>
  <c r="O181" i="9"/>
  <c r="O182" i="9"/>
  <c r="O183" i="9"/>
  <c r="O184" i="9"/>
  <c r="O185" i="9"/>
  <c r="O186" i="9"/>
  <c r="O187" i="9"/>
  <c r="O188" i="9"/>
  <c r="O189" i="9"/>
  <c r="O190" i="9"/>
  <c r="O191" i="9"/>
  <c r="O192" i="9"/>
  <c r="O193" i="9"/>
  <c r="O194" i="9"/>
  <c r="O195" i="9"/>
  <c r="O196" i="9"/>
  <c r="O197" i="9"/>
  <c r="O198" i="9"/>
  <c r="O199" i="9"/>
  <c r="O200" i="9"/>
  <c r="O201" i="9"/>
  <c r="O202" i="9"/>
  <c r="O203" i="9"/>
  <c r="O204" i="9"/>
  <c r="O205" i="9"/>
  <c r="O206" i="9"/>
  <c r="O207" i="9"/>
  <c r="O208" i="9"/>
  <c r="O209" i="9"/>
  <c r="O210" i="9"/>
  <c r="O211" i="9"/>
  <c r="O212" i="9"/>
  <c r="O213" i="9"/>
  <c r="O214" i="9"/>
  <c r="O215" i="9"/>
  <c r="O216" i="9"/>
  <c r="O217" i="9"/>
  <c r="O218" i="9"/>
  <c r="O219" i="9"/>
  <c r="O220" i="9"/>
  <c r="O221" i="9"/>
  <c r="O222" i="9"/>
  <c r="O223" i="9"/>
  <c r="O224" i="9"/>
  <c r="O225" i="9"/>
  <c r="O226" i="9"/>
  <c r="O227" i="9"/>
  <c r="O228" i="9"/>
  <c r="O229" i="9"/>
  <c r="O230" i="9"/>
  <c r="O231" i="9"/>
  <c r="O232" i="9"/>
  <c r="O233" i="9"/>
  <c r="O234" i="9"/>
  <c r="O235" i="9"/>
  <c r="O236" i="9"/>
  <c r="O237" i="9"/>
  <c r="O238" i="9"/>
  <c r="O239" i="9"/>
  <c r="O240" i="9"/>
  <c r="O241" i="9"/>
  <c r="O242" i="9"/>
  <c r="O243" i="9"/>
  <c r="O244" i="9"/>
  <c r="O245" i="9"/>
  <c r="O246" i="9"/>
  <c r="O247" i="9"/>
  <c r="O248" i="9"/>
  <c r="O249" i="9"/>
  <c r="O250" i="9"/>
  <c r="O251" i="9"/>
  <c r="O252" i="9"/>
  <c r="O253" i="9"/>
  <c r="O254" i="9"/>
  <c r="O255" i="9"/>
  <c r="O256" i="9"/>
  <c r="O257" i="9"/>
  <c r="O258" i="9"/>
  <c r="O259" i="9"/>
  <c r="O260" i="9"/>
  <c r="O2" i="9"/>
  <c r="X262" i="9"/>
  <c r="W262" i="9"/>
  <c r="X261" i="9"/>
  <c r="W261" i="9"/>
  <c r="X260" i="9"/>
  <c r="W260" i="9"/>
  <c r="X259" i="9"/>
  <c r="W259" i="9"/>
  <c r="X258" i="9"/>
  <c r="W258" i="9"/>
  <c r="X257" i="9"/>
  <c r="W257" i="9"/>
  <c r="X256" i="9"/>
  <c r="W256" i="9"/>
  <c r="X255" i="9"/>
  <c r="W255" i="9"/>
  <c r="X254" i="9"/>
  <c r="W254" i="9"/>
  <c r="X253" i="9"/>
  <c r="W253" i="9"/>
  <c r="X252" i="9"/>
  <c r="W252" i="9"/>
  <c r="X251" i="9"/>
  <c r="W251" i="9"/>
  <c r="X250" i="9"/>
  <c r="W250" i="9"/>
  <c r="X249" i="9"/>
  <c r="W249" i="9"/>
  <c r="X248" i="9"/>
  <c r="W248" i="9"/>
  <c r="X247" i="9"/>
  <c r="W247" i="9"/>
  <c r="X246" i="9"/>
  <c r="W246" i="9"/>
  <c r="X245" i="9"/>
  <c r="W245" i="9"/>
  <c r="X244" i="9"/>
  <c r="W244" i="9"/>
  <c r="X243" i="9"/>
  <c r="W243" i="9"/>
  <c r="X242" i="9"/>
  <c r="W242" i="9"/>
  <c r="X241" i="9"/>
  <c r="W241" i="9"/>
  <c r="X240" i="9"/>
  <c r="W240" i="9"/>
  <c r="X239" i="9"/>
  <c r="W239" i="9"/>
  <c r="X238" i="9"/>
  <c r="W238" i="9"/>
  <c r="X237" i="9"/>
  <c r="W237" i="9"/>
  <c r="X236" i="9"/>
  <c r="W236" i="9"/>
  <c r="X235" i="9"/>
  <c r="W235" i="9"/>
  <c r="X234" i="9"/>
  <c r="W234" i="9"/>
  <c r="X233" i="9"/>
  <c r="W233" i="9"/>
  <c r="X232" i="9"/>
  <c r="W232" i="9"/>
  <c r="X231" i="9"/>
  <c r="W231" i="9"/>
  <c r="X230" i="9"/>
  <c r="W230" i="9"/>
  <c r="X229" i="9"/>
  <c r="W229" i="9"/>
  <c r="X228" i="9"/>
  <c r="W228" i="9"/>
  <c r="X227" i="9"/>
  <c r="W227" i="9"/>
  <c r="X226" i="9"/>
  <c r="W226" i="9"/>
  <c r="X225" i="9"/>
  <c r="W225" i="9"/>
  <c r="X224" i="9"/>
  <c r="W224" i="9"/>
  <c r="X223" i="9"/>
  <c r="W223" i="9"/>
  <c r="X222" i="9"/>
  <c r="W222" i="9"/>
  <c r="X221" i="9"/>
  <c r="W221" i="9"/>
  <c r="X220" i="9"/>
  <c r="W220" i="9"/>
  <c r="X219" i="9"/>
  <c r="W219" i="9"/>
  <c r="X218" i="9"/>
  <c r="W218" i="9"/>
  <c r="X217" i="9"/>
  <c r="W217" i="9"/>
  <c r="X216" i="9"/>
  <c r="W216" i="9"/>
  <c r="X215" i="9"/>
  <c r="W215" i="9"/>
  <c r="X214" i="9"/>
  <c r="W214" i="9"/>
  <c r="X213" i="9"/>
  <c r="W213" i="9"/>
  <c r="X212" i="9"/>
  <c r="W212" i="9"/>
  <c r="X211" i="9"/>
  <c r="W211" i="9"/>
  <c r="X210" i="9"/>
  <c r="W210" i="9"/>
  <c r="X209" i="9"/>
  <c r="W209" i="9"/>
  <c r="X208" i="9"/>
  <c r="W208" i="9"/>
  <c r="X207" i="9"/>
  <c r="W207" i="9"/>
  <c r="X206" i="9"/>
  <c r="W206" i="9"/>
  <c r="X205" i="9"/>
  <c r="W205" i="9"/>
  <c r="X204" i="9"/>
  <c r="W204" i="9"/>
  <c r="X203" i="9"/>
  <c r="W203" i="9"/>
  <c r="X202" i="9"/>
  <c r="W202" i="9"/>
  <c r="X201" i="9"/>
  <c r="W201" i="9"/>
  <c r="X200" i="9"/>
  <c r="W200" i="9"/>
  <c r="X199" i="9"/>
  <c r="W199" i="9"/>
  <c r="X198" i="9"/>
  <c r="W198" i="9"/>
  <c r="X197" i="9"/>
  <c r="W197" i="9"/>
  <c r="X196" i="9"/>
  <c r="W196" i="9"/>
  <c r="X195" i="9"/>
  <c r="W195" i="9"/>
  <c r="X194" i="9"/>
  <c r="W194" i="9"/>
  <c r="X193" i="9"/>
  <c r="W193" i="9"/>
  <c r="X192" i="9"/>
  <c r="W192" i="9"/>
  <c r="X191" i="9"/>
  <c r="W191" i="9"/>
  <c r="X190" i="9"/>
  <c r="W190" i="9"/>
  <c r="X189" i="9"/>
  <c r="W189" i="9"/>
  <c r="X188" i="9"/>
  <c r="W188" i="9"/>
  <c r="X187" i="9"/>
  <c r="W187" i="9"/>
  <c r="X186" i="9"/>
  <c r="W186" i="9"/>
  <c r="X185" i="9"/>
  <c r="W185" i="9"/>
  <c r="X184" i="9"/>
  <c r="W184" i="9"/>
  <c r="X183" i="9"/>
  <c r="W183" i="9"/>
  <c r="X182" i="9"/>
  <c r="W182" i="9"/>
  <c r="X181" i="9"/>
  <c r="W181" i="9"/>
  <c r="X180" i="9"/>
  <c r="W180" i="9"/>
  <c r="X179" i="9"/>
  <c r="W179" i="9"/>
  <c r="X178" i="9"/>
  <c r="W178" i="9"/>
  <c r="X177" i="9"/>
  <c r="W177" i="9"/>
  <c r="T177" i="9"/>
  <c r="X176" i="9"/>
  <c r="W176" i="9"/>
  <c r="T176" i="9"/>
  <c r="X175" i="9"/>
  <c r="W175" i="9"/>
  <c r="T175" i="9"/>
  <c r="X174" i="9"/>
  <c r="W174" i="9"/>
  <c r="T174" i="9"/>
  <c r="X173" i="9"/>
  <c r="W173" i="9"/>
  <c r="T173" i="9"/>
  <c r="X172" i="9"/>
  <c r="W172" i="9"/>
  <c r="T172" i="9"/>
  <c r="X171" i="9"/>
  <c r="W171" i="9"/>
  <c r="T171" i="9"/>
  <c r="X170" i="9"/>
  <c r="W170" i="9"/>
  <c r="T170" i="9"/>
  <c r="X169" i="9"/>
  <c r="W169" i="9"/>
  <c r="T169" i="9"/>
  <c r="X168" i="9"/>
  <c r="W168" i="9"/>
  <c r="T168" i="9"/>
  <c r="X167" i="9"/>
  <c r="W167" i="9"/>
  <c r="T167" i="9"/>
  <c r="X166" i="9"/>
  <c r="W166" i="9"/>
  <c r="T166" i="9"/>
  <c r="X165" i="9"/>
  <c r="W165" i="9"/>
  <c r="T165" i="9"/>
  <c r="X164" i="9"/>
  <c r="W164" i="9"/>
  <c r="T164" i="9"/>
  <c r="X163" i="9"/>
  <c r="W163" i="9"/>
  <c r="T163" i="9"/>
  <c r="X162" i="9"/>
  <c r="W162" i="9"/>
  <c r="T162" i="9"/>
  <c r="X161" i="9"/>
  <c r="W161" i="9"/>
  <c r="T161" i="9"/>
  <c r="X160" i="9"/>
  <c r="W160" i="9"/>
  <c r="T160" i="9"/>
  <c r="X159" i="9"/>
  <c r="W159" i="9"/>
  <c r="T159" i="9"/>
  <c r="X158" i="9"/>
  <c r="W158" i="9"/>
  <c r="T158" i="9"/>
  <c r="X157" i="9"/>
  <c r="W157" i="9"/>
  <c r="T157" i="9"/>
  <c r="X156" i="9"/>
  <c r="W156" i="9"/>
  <c r="T156" i="9"/>
  <c r="X155" i="9"/>
  <c r="W155" i="9"/>
  <c r="T155" i="9"/>
  <c r="X154" i="9"/>
  <c r="W154" i="9"/>
  <c r="T154" i="9"/>
  <c r="X153" i="9"/>
  <c r="W153" i="9"/>
  <c r="T153" i="9"/>
  <c r="X152" i="9"/>
  <c r="W152" i="9"/>
  <c r="T152" i="9"/>
  <c r="X151" i="9"/>
  <c r="W151" i="9"/>
  <c r="T151" i="9"/>
  <c r="X150" i="9"/>
  <c r="W150" i="9"/>
  <c r="T150" i="9"/>
  <c r="X149" i="9"/>
  <c r="W149" i="9"/>
  <c r="T149" i="9"/>
  <c r="X148" i="9"/>
  <c r="W148" i="9"/>
  <c r="T148" i="9"/>
  <c r="X147" i="9"/>
  <c r="W147" i="9"/>
  <c r="T147" i="9"/>
  <c r="X146" i="9"/>
  <c r="W146" i="9"/>
  <c r="T146" i="9"/>
  <c r="X145" i="9"/>
  <c r="W145" i="9"/>
  <c r="T145" i="9"/>
  <c r="X144" i="9"/>
  <c r="W144" i="9"/>
  <c r="T144" i="9"/>
  <c r="X143" i="9"/>
  <c r="W143" i="9"/>
  <c r="T143" i="9"/>
  <c r="X142" i="9"/>
  <c r="W142" i="9"/>
  <c r="T142" i="9"/>
  <c r="X141" i="9"/>
  <c r="W141" i="9"/>
  <c r="T141" i="9"/>
  <c r="X140" i="9"/>
  <c r="W140" i="9"/>
  <c r="T140" i="9"/>
  <c r="X139" i="9"/>
  <c r="W139" i="9"/>
  <c r="T139" i="9"/>
  <c r="X138" i="9"/>
  <c r="W138" i="9"/>
  <c r="T138" i="9"/>
  <c r="X137" i="9"/>
  <c r="W137" i="9"/>
  <c r="T137" i="9"/>
  <c r="X136" i="9"/>
  <c r="W136" i="9"/>
  <c r="T136" i="9"/>
  <c r="X135" i="9"/>
  <c r="W135" i="9"/>
  <c r="T135" i="9"/>
  <c r="X134" i="9"/>
  <c r="W134" i="9"/>
  <c r="T134" i="9"/>
  <c r="X133" i="9"/>
  <c r="W133" i="9"/>
  <c r="T133" i="9"/>
  <c r="X132" i="9"/>
  <c r="W132" i="9"/>
  <c r="T132" i="9"/>
  <c r="X131" i="9"/>
  <c r="W131" i="9"/>
  <c r="T131" i="9"/>
  <c r="X130" i="9"/>
  <c r="W130" i="9"/>
  <c r="T130" i="9"/>
  <c r="X129" i="9"/>
  <c r="W129" i="9"/>
  <c r="T129" i="9"/>
  <c r="X128" i="9"/>
  <c r="W128" i="9"/>
  <c r="T128" i="9"/>
  <c r="X127" i="9"/>
  <c r="W127" i="9"/>
  <c r="T127" i="9"/>
  <c r="X126" i="9"/>
  <c r="W126" i="9"/>
  <c r="T126" i="9"/>
  <c r="X125" i="9"/>
  <c r="W125" i="9"/>
  <c r="T125" i="9"/>
  <c r="X124" i="9"/>
  <c r="W124" i="9"/>
  <c r="T124" i="9"/>
  <c r="X123" i="9"/>
  <c r="W123" i="9"/>
  <c r="T123" i="9"/>
  <c r="X122" i="9"/>
  <c r="W122" i="9"/>
  <c r="T122" i="9"/>
  <c r="X121" i="9"/>
  <c r="W121" i="9"/>
  <c r="T121" i="9"/>
  <c r="X120" i="9"/>
  <c r="W120" i="9"/>
  <c r="T120" i="9"/>
  <c r="X119" i="9"/>
  <c r="W119" i="9"/>
  <c r="T119" i="9"/>
  <c r="X118" i="9"/>
  <c r="W118" i="9"/>
  <c r="T118" i="9"/>
  <c r="X117" i="9"/>
  <c r="W117" i="9"/>
  <c r="T117" i="9"/>
  <c r="X116" i="9"/>
  <c r="W116" i="9"/>
  <c r="T116" i="9"/>
  <c r="X115" i="9"/>
  <c r="W115" i="9"/>
  <c r="T115" i="9"/>
  <c r="X114" i="9"/>
  <c r="W114" i="9"/>
  <c r="T114" i="9"/>
  <c r="X113" i="9"/>
  <c r="W113" i="9"/>
  <c r="T113" i="9"/>
  <c r="X112" i="9"/>
  <c r="W112" i="9"/>
  <c r="T112" i="9"/>
  <c r="X111" i="9"/>
  <c r="W111" i="9"/>
  <c r="T111" i="9"/>
  <c r="X110" i="9"/>
  <c r="W110" i="9"/>
  <c r="T110" i="9"/>
  <c r="X109" i="9"/>
  <c r="W109" i="9"/>
  <c r="T109" i="9"/>
  <c r="X108" i="9"/>
  <c r="W108" i="9"/>
  <c r="T108" i="9"/>
  <c r="X107" i="9"/>
  <c r="W107" i="9"/>
  <c r="T107" i="9"/>
  <c r="X106" i="9"/>
  <c r="W106" i="9"/>
  <c r="T106" i="9"/>
  <c r="X105" i="9"/>
  <c r="W105" i="9"/>
  <c r="T105" i="9"/>
  <c r="X104" i="9"/>
  <c r="W104" i="9"/>
  <c r="T104" i="9"/>
  <c r="X103" i="9"/>
  <c r="W103" i="9"/>
  <c r="T103" i="9"/>
  <c r="X102" i="9"/>
  <c r="W102" i="9"/>
  <c r="T102" i="9"/>
  <c r="X101" i="9"/>
  <c r="W101" i="9"/>
  <c r="T101" i="9"/>
  <c r="X100" i="9"/>
  <c r="W100" i="9"/>
  <c r="T100" i="9"/>
  <c r="X99" i="9"/>
  <c r="W99" i="9"/>
  <c r="T99" i="9"/>
  <c r="X98" i="9"/>
  <c r="W98" i="9"/>
  <c r="T98" i="9"/>
  <c r="X97" i="9"/>
  <c r="W97" i="9"/>
  <c r="T97" i="9"/>
  <c r="X96" i="9"/>
  <c r="W96" i="9"/>
  <c r="T96" i="9"/>
  <c r="X95" i="9"/>
  <c r="W95" i="9"/>
  <c r="T95" i="9"/>
  <c r="X94" i="9"/>
  <c r="W94" i="9"/>
  <c r="T94" i="9"/>
  <c r="X93" i="9"/>
  <c r="W93" i="9"/>
  <c r="T93" i="9"/>
  <c r="X92" i="9"/>
  <c r="W92" i="9"/>
  <c r="T92" i="9"/>
  <c r="X91" i="9"/>
  <c r="W91" i="9"/>
  <c r="T91" i="9"/>
  <c r="X90" i="9"/>
  <c r="W90" i="9"/>
  <c r="T90" i="9"/>
  <c r="X89" i="9"/>
  <c r="W89" i="9"/>
  <c r="T89" i="9"/>
  <c r="X88" i="9"/>
  <c r="W88" i="9"/>
  <c r="T88" i="9"/>
  <c r="X87" i="9"/>
  <c r="W87" i="9"/>
  <c r="T87" i="9"/>
  <c r="X86" i="9"/>
  <c r="W86" i="9"/>
  <c r="T86" i="9"/>
  <c r="X85" i="9"/>
  <c r="W85" i="9"/>
  <c r="T85" i="9"/>
  <c r="X84" i="9"/>
  <c r="W84" i="9"/>
  <c r="T84" i="9"/>
  <c r="X83" i="9"/>
  <c r="W83" i="9"/>
  <c r="T83" i="9"/>
  <c r="X82" i="9"/>
  <c r="W82" i="9"/>
  <c r="T82" i="9"/>
  <c r="X81" i="9"/>
  <c r="W81" i="9"/>
  <c r="T81" i="9"/>
  <c r="X80" i="9"/>
  <c r="W80" i="9"/>
  <c r="T80" i="9"/>
  <c r="X79" i="9"/>
  <c r="W79" i="9"/>
  <c r="T79" i="9"/>
  <c r="X78" i="9"/>
  <c r="W78" i="9"/>
  <c r="T78" i="9"/>
  <c r="X77" i="9"/>
  <c r="W77" i="9"/>
  <c r="T77" i="9"/>
  <c r="X76" i="9"/>
  <c r="W76" i="9"/>
  <c r="T76" i="9"/>
  <c r="X75" i="9"/>
  <c r="W75" i="9"/>
  <c r="T75" i="9"/>
  <c r="X74" i="9"/>
  <c r="W74" i="9"/>
  <c r="T74" i="9"/>
  <c r="X73" i="9"/>
  <c r="W73" i="9"/>
  <c r="T73" i="9"/>
  <c r="X72" i="9"/>
  <c r="W72" i="9"/>
  <c r="T72" i="9"/>
  <c r="X71" i="9"/>
  <c r="W71" i="9"/>
  <c r="T71" i="9"/>
  <c r="X70" i="9"/>
  <c r="W70" i="9"/>
  <c r="T70" i="9"/>
  <c r="X69" i="9"/>
  <c r="W69" i="9"/>
  <c r="T69" i="9"/>
  <c r="X68" i="9"/>
  <c r="W68" i="9"/>
  <c r="T68" i="9"/>
  <c r="X67" i="9"/>
  <c r="W67" i="9"/>
  <c r="T67" i="9"/>
  <c r="X66" i="9"/>
  <c r="W66" i="9"/>
  <c r="T66" i="9"/>
  <c r="X65" i="9"/>
  <c r="W65" i="9"/>
  <c r="T65" i="9"/>
  <c r="X64" i="9"/>
  <c r="W64" i="9"/>
  <c r="T64" i="9"/>
  <c r="X63" i="9"/>
  <c r="W63" i="9"/>
  <c r="T63" i="9"/>
  <c r="X62" i="9"/>
  <c r="W62" i="9"/>
  <c r="T62" i="9"/>
  <c r="X61" i="9"/>
  <c r="W61" i="9"/>
  <c r="T61" i="9"/>
  <c r="X60" i="9"/>
  <c r="W60" i="9"/>
  <c r="T60" i="9"/>
  <c r="X59" i="9"/>
  <c r="W59" i="9"/>
  <c r="T59" i="9"/>
  <c r="X58" i="9"/>
  <c r="W58" i="9"/>
  <c r="T58" i="9"/>
  <c r="X57" i="9"/>
  <c r="W57" i="9"/>
  <c r="T57" i="9"/>
  <c r="X56" i="9"/>
  <c r="W56" i="9"/>
  <c r="T56" i="9"/>
  <c r="X55" i="9"/>
  <c r="W55" i="9"/>
  <c r="T55" i="9"/>
  <c r="X54" i="9"/>
  <c r="W54" i="9"/>
  <c r="T54" i="9"/>
  <c r="X53" i="9"/>
  <c r="W53" i="9"/>
  <c r="T53" i="9"/>
  <c r="X52" i="9"/>
  <c r="W52" i="9"/>
  <c r="T52" i="9"/>
  <c r="X51" i="9"/>
  <c r="W51" i="9"/>
  <c r="T51" i="9"/>
  <c r="X50" i="9"/>
  <c r="W50" i="9"/>
  <c r="T50" i="9"/>
  <c r="X49" i="9"/>
  <c r="W49" i="9"/>
  <c r="T49" i="9"/>
  <c r="X48" i="9"/>
  <c r="W48" i="9"/>
  <c r="T48" i="9"/>
  <c r="X47" i="9"/>
  <c r="W47" i="9"/>
  <c r="T47" i="9"/>
  <c r="X46" i="9"/>
  <c r="W46" i="9"/>
  <c r="T46" i="9"/>
  <c r="X45" i="9"/>
  <c r="W45" i="9"/>
  <c r="T45" i="9"/>
  <c r="X44" i="9"/>
  <c r="W44" i="9"/>
  <c r="T44" i="9"/>
  <c r="X43" i="9"/>
  <c r="W43" i="9"/>
  <c r="T43" i="9"/>
  <c r="X42" i="9"/>
  <c r="W42" i="9"/>
  <c r="T42" i="9"/>
  <c r="X41" i="9"/>
  <c r="W41" i="9"/>
  <c r="T41" i="9"/>
  <c r="X40" i="9"/>
  <c r="W40" i="9"/>
  <c r="T40" i="9"/>
  <c r="X39" i="9"/>
  <c r="W39" i="9"/>
  <c r="T39" i="9"/>
  <c r="X38" i="9"/>
  <c r="W38" i="9"/>
  <c r="T38" i="9"/>
  <c r="X37" i="9"/>
  <c r="W37" i="9"/>
  <c r="T37" i="9"/>
  <c r="X36" i="9"/>
  <c r="W36" i="9"/>
  <c r="T36" i="9"/>
  <c r="X35" i="9"/>
  <c r="W35" i="9"/>
  <c r="T35" i="9"/>
  <c r="X34" i="9"/>
  <c r="W34" i="9"/>
  <c r="T34" i="9"/>
  <c r="X33" i="9"/>
  <c r="W33" i="9"/>
  <c r="T33" i="9"/>
  <c r="X32" i="9"/>
  <c r="W32" i="9"/>
  <c r="T32" i="9"/>
  <c r="X31" i="9"/>
  <c r="W31" i="9"/>
  <c r="T31" i="9"/>
  <c r="X30" i="9"/>
  <c r="W30" i="9"/>
  <c r="T30" i="9"/>
  <c r="X29" i="9"/>
  <c r="W29" i="9"/>
  <c r="T29" i="9"/>
  <c r="X28" i="9"/>
  <c r="W28" i="9"/>
  <c r="T28" i="9"/>
  <c r="X27" i="9"/>
  <c r="W27" i="9"/>
  <c r="T27" i="9"/>
  <c r="X26" i="9"/>
  <c r="W26" i="9"/>
  <c r="T26" i="9"/>
  <c r="X25" i="9"/>
  <c r="W25" i="9"/>
  <c r="T25" i="9"/>
  <c r="X24" i="9"/>
  <c r="W24" i="9"/>
  <c r="T24" i="9"/>
  <c r="X23" i="9"/>
  <c r="W23" i="9"/>
  <c r="T23" i="9"/>
  <c r="X22" i="9"/>
  <c r="W22" i="9"/>
  <c r="T22" i="9"/>
  <c r="X21" i="9"/>
  <c r="W21" i="9"/>
  <c r="T21" i="9"/>
  <c r="X20" i="9"/>
  <c r="W20" i="9"/>
  <c r="T20" i="9"/>
  <c r="X19" i="9"/>
  <c r="W19" i="9"/>
  <c r="T19" i="9"/>
  <c r="X18" i="9"/>
  <c r="W18" i="9"/>
  <c r="T18" i="9"/>
  <c r="X17" i="9"/>
  <c r="W17" i="9"/>
  <c r="T17" i="9"/>
  <c r="X16" i="9"/>
  <c r="W16" i="9"/>
  <c r="T16" i="9"/>
  <c r="X15" i="9"/>
  <c r="W15" i="9"/>
  <c r="T15" i="9"/>
  <c r="X14" i="9"/>
  <c r="W14" i="9"/>
  <c r="T14" i="9"/>
  <c r="X13" i="9"/>
  <c r="W13" i="9"/>
  <c r="T13" i="9"/>
  <c r="X12" i="9"/>
  <c r="W12" i="9"/>
  <c r="T12" i="9"/>
  <c r="X11" i="9"/>
  <c r="W11" i="9"/>
  <c r="T11" i="9"/>
  <c r="X10" i="9"/>
  <c r="W10" i="9"/>
  <c r="T10" i="9"/>
  <c r="X9" i="9"/>
  <c r="W9" i="9"/>
  <c r="T9" i="9"/>
  <c r="X8" i="9"/>
  <c r="W8" i="9"/>
  <c r="T8" i="9"/>
  <c r="X7" i="9"/>
  <c r="W7" i="9"/>
  <c r="T7" i="9"/>
  <c r="X6" i="9"/>
  <c r="W6" i="9"/>
  <c r="T6" i="9"/>
  <c r="X5" i="9"/>
  <c r="W5" i="9"/>
  <c r="T5" i="9"/>
  <c r="X4" i="9"/>
  <c r="W4" i="9"/>
  <c r="T4" i="9"/>
  <c r="X3" i="9"/>
  <c r="W3" i="9"/>
  <c r="T3" i="9"/>
  <c r="X2" i="9"/>
  <c r="W2" i="9"/>
  <c r="T2" i="9"/>
  <c r="K3" i="6" l="1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2" i="6"/>
  <c r="N2" i="6" l="1"/>
  <c r="O2" i="6"/>
  <c r="N3" i="6"/>
  <c r="O3" i="6"/>
  <c r="N4" i="6"/>
  <c r="O4" i="6"/>
  <c r="N5" i="6"/>
  <c r="O5" i="6"/>
  <c r="N6" i="6"/>
  <c r="O6" i="6"/>
  <c r="N7" i="6"/>
  <c r="O7" i="6"/>
  <c r="N8" i="6"/>
  <c r="O8" i="6"/>
  <c r="N9" i="6"/>
  <c r="O9" i="6"/>
  <c r="N10" i="6"/>
  <c r="O10" i="6"/>
  <c r="N11" i="6"/>
  <c r="O11" i="6"/>
  <c r="N12" i="6"/>
  <c r="O12" i="6"/>
  <c r="N13" i="6"/>
  <c r="O13" i="6"/>
  <c r="N14" i="6"/>
  <c r="O14" i="6"/>
  <c r="N15" i="6"/>
  <c r="O15" i="6"/>
  <c r="N16" i="6"/>
  <c r="O16" i="6"/>
  <c r="N17" i="6"/>
  <c r="O17" i="6"/>
  <c r="N18" i="6"/>
  <c r="O18" i="6"/>
  <c r="N19" i="6"/>
  <c r="O19" i="6"/>
  <c r="N20" i="6"/>
  <c r="O20" i="6"/>
  <c r="N21" i="6"/>
  <c r="O21" i="6"/>
  <c r="N22" i="6"/>
  <c r="O22" i="6"/>
  <c r="N23" i="6"/>
  <c r="O23" i="6"/>
  <c r="N24" i="6"/>
  <c r="O24" i="6"/>
  <c r="N25" i="6"/>
  <c r="O25" i="6"/>
  <c r="N26" i="6"/>
  <c r="O26" i="6"/>
  <c r="N27" i="6"/>
  <c r="O27" i="6"/>
  <c r="N28" i="6"/>
  <c r="O28" i="6"/>
  <c r="N29" i="6"/>
  <c r="O29" i="6"/>
  <c r="N30" i="6"/>
  <c r="O30" i="6"/>
  <c r="N31" i="6"/>
  <c r="O31" i="6"/>
  <c r="N32" i="6"/>
  <c r="O32" i="6"/>
  <c r="N33" i="6"/>
  <c r="O33" i="6"/>
  <c r="N34" i="6"/>
  <c r="O34" i="6"/>
  <c r="N35" i="6"/>
  <c r="O35" i="6"/>
  <c r="N36" i="6"/>
  <c r="O36" i="6"/>
  <c r="N37" i="6"/>
  <c r="O37" i="6"/>
  <c r="N38" i="6"/>
  <c r="O38" i="6"/>
  <c r="N39" i="6"/>
  <c r="O39" i="6"/>
  <c r="N40" i="6"/>
  <c r="O40" i="6"/>
  <c r="N41" i="6"/>
  <c r="O41" i="6"/>
  <c r="N42" i="6"/>
  <c r="O42" i="6"/>
  <c r="N43" i="6"/>
  <c r="O43" i="6"/>
  <c r="N44" i="6"/>
  <c r="O44" i="6"/>
  <c r="N45" i="6"/>
  <c r="O45" i="6"/>
  <c r="N46" i="6"/>
  <c r="O46" i="6"/>
  <c r="N47" i="6"/>
  <c r="O47" i="6"/>
  <c r="N48" i="6"/>
  <c r="O48" i="6"/>
  <c r="N49" i="6"/>
  <c r="O49" i="6"/>
  <c r="N50" i="6"/>
  <c r="O50" i="6"/>
  <c r="N51" i="6"/>
  <c r="O51" i="6"/>
  <c r="N52" i="6"/>
  <c r="O52" i="6"/>
  <c r="N53" i="6"/>
  <c r="O53" i="6"/>
  <c r="N54" i="6"/>
  <c r="O54" i="6"/>
  <c r="N55" i="6"/>
  <c r="O55" i="6"/>
  <c r="N56" i="6"/>
  <c r="O56" i="6"/>
  <c r="N57" i="6"/>
  <c r="O57" i="6"/>
  <c r="N58" i="6"/>
  <c r="O58" i="6"/>
  <c r="N59" i="6"/>
  <c r="O59" i="6"/>
  <c r="N60" i="6"/>
  <c r="O60" i="6"/>
  <c r="N61" i="6"/>
  <c r="O61" i="6"/>
  <c r="N62" i="6"/>
  <c r="O62" i="6"/>
  <c r="N63" i="6"/>
  <c r="O63" i="6"/>
  <c r="N64" i="6"/>
  <c r="O64" i="6"/>
  <c r="N65" i="6"/>
  <c r="O65" i="6"/>
  <c r="N66" i="6"/>
  <c r="O66" i="6"/>
  <c r="N67" i="6"/>
  <c r="O67" i="6"/>
  <c r="N68" i="6"/>
  <c r="O68" i="6"/>
  <c r="N69" i="6"/>
  <c r="O69" i="6"/>
  <c r="N70" i="6"/>
  <c r="O70" i="6"/>
  <c r="N71" i="6"/>
  <c r="O71" i="6"/>
  <c r="N72" i="6"/>
  <c r="O72" i="6"/>
  <c r="N73" i="6"/>
  <c r="O73" i="6"/>
  <c r="N74" i="6"/>
  <c r="O74" i="6"/>
  <c r="N75" i="6"/>
  <c r="O75" i="6"/>
  <c r="N76" i="6"/>
  <c r="O76" i="6"/>
  <c r="N77" i="6"/>
  <c r="O77" i="6"/>
  <c r="N78" i="6"/>
  <c r="O78" i="6"/>
  <c r="N79" i="6"/>
  <c r="O79" i="6"/>
  <c r="N80" i="6"/>
  <c r="O80" i="6"/>
  <c r="N81" i="6"/>
  <c r="O81" i="6"/>
  <c r="N82" i="6"/>
  <c r="O82" i="6"/>
  <c r="N83" i="6"/>
  <c r="O83" i="6"/>
  <c r="N84" i="6"/>
  <c r="O84" i="6"/>
  <c r="N85" i="6"/>
  <c r="O85" i="6"/>
  <c r="N86" i="6"/>
  <c r="O86" i="6"/>
  <c r="N87" i="6"/>
  <c r="O87" i="6"/>
  <c r="N88" i="6"/>
  <c r="O88" i="6"/>
  <c r="N89" i="6"/>
  <c r="O89" i="6"/>
  <c r="N90" i="6"/>
  <c r="O90" i="6"/>
  <c r="N91" i="6"/>
  <c r="O91" i="6"/>
  <c r="N92" i="6"/>
  <c r="O92" i="6"/>
  <c r="N93" i="6"/>
  <c r="O93" i="6"/>
  <c r="N94" i="6"/>
  <c r="O94" i="6"/>
  <c r="N95" i="6"/>
  <c r="O95" i="6"/>
  <c r="N96" i="6"/>
  <c r="O96" i="6"/>
  <c r="N97" i="6"/>
  <c r="O97" i="6"/>
  <c r="N98" i="6"/>
  <c r="O98" i="6"/>
  <c r="N99" i="6"/>
  <c r="O99" i="6"/>
  <c r="N100" i="6"/>
  <c r="O100" i="6"/>
  <c r="N101" i="6"/>
  <c r="O101" i="6"/>
  <c r="N102" i="6"/>
  <c r="O102" i="6"/>
  <c r="N103" i="6"/>
  <c r="O103" i="6"/>
  <c r="N104" i="6"/>
  <c r="O104" i="6"/>
  <c r="N105" i="6"/>
  <c r="O105" i="6"/>
  <c r="N106" i="6"/>
  <c r="O106" i="6"/>
  <c r="N107" i="6"/>
  <c r="O107" i="6"/>
  <c r="N108" i="6"/>
  <c r="O108" i="6"/>
  <c r="N109" i="6"/>
  <c r="O109" i="6"/>
  <c r="N110" i="6"/>
  <c r="O110" i="6"/>
  <c r="N111" i="6"/>
  <c r="O111" i="6"/>
  <c r="N112" i="6"/>
  <c r="O112" i="6"/>
  <c r="N113" i="6"/>
  <c r="O113" i="6"/>
  <c r="N114" i="6"/>
  <c r="O114" i="6"/>
  <c r="N115" i="6"/>
  <c r="O115" i="6"/>
  <c r="N116" i="6"/>
  <c r="O116" i="6"/>
  <c r="N117" i="6"/>
  <c r="O117" i="6"/>
  <c r="N118" i="6"/>
  <c r="O118" i="6"/>
  <c r="N119" i="6"/>
  <c r="O119" i="6"/>
  <c r="N120" i="6"/>
  <c r="O120" i="6"/>
  <c r="N121" i="6"/>
  <c r="O121" i="6"/>
  <c r="N122" i="6"/>
  <c r="O122" i="6"/>
  <c r="N123" i="6"/>
  <c r="O123" i="6"/>
  <c r="N124" i="6"/>
  <c r="O124" i="6"/>
  <c r="N125" i="6"/>
  <c r="O125" i="6"/>
  <c r="N126" i="6"/>
  <c r="O126" i="6"/>
  <c r="N127" i="6"/>
  <c r="O127" i="6"/>
  <c r="N128" i="6"/>
  <c r="O128" i="6"/>
  <c r="N129" i="6"/>
  <c r="O129" i="6"/>
  <c r="N130" i="6"/>
  <c r="O130" i="6"/>
  <c r="N131" i="6"/>
  <c r="O131" i="6"/>
  <c r="N132" i="6"/>
  <c r="O132" i="6"/>
  <c r="N133" i="6"/>
  <c r="O133" i="6"/>
  <c r="N134" i="6"/>
  <c r="O134" i="6"/>
  <c r="N135" i="6"/>
  <c r="O135" i="6"/>
  <c r="N136" i="6"/>
  <c r="O136" i="6"/>
  <c r="N137" i="6"/>
  <c r="O137" i="6"/>
  <c r="N138" i="6"/>
  <c r="O138" i="6"/>
  <c r="N139" i="6"/>
  <c r="O139" i="6"/>
  <c r="N140" i="6"/>
  <c r="O140" i="6"/>
  <c r="N141" i="6"/>
  <c r="O141" i="6"/>
  <c r="N142" i="6"/>
  <c r="O142" i="6"/>
  <c r="N143" i="6"/>
  <c r="O143" i="6"/>
  <c r="N144" i="6"/>
  <c r="O144" i="6"/>
  <c r="N145" i="6"/>
  <c r="O145" i="6"/>
  <c r="N146" i="6"/>
  <c r="O146" i="6"/>
  <c r="N147" i="6"/>
  <c r="O147" i="6"/>
  <c r="N148" i="6"/>
  <c r="O148" i="6"/>
  <c r="N149" i="6"/>
  <c r="O149" i="6"/>
  <c r="N150" i="6"/>
  <c r="O150" i="6"/>
  <c r="N151" i="6"/>
  <c r="O151" i="6"/>
  <c r="N152" i="6"/>
  <c r="O152" i="6"/>
  <c r="N153" i="6"/>
  <c r="O153" i="6"/>
  <c r="N154" i="6"/>
  <c r="O154" i="6"/>
  <c r="N155" i="6"/>
  <c r="O155" i="6"/>
  <c r="N156" i="6"/>
  <c r="O156" i="6"/>
  <c r="N157" i="6"/>
  <c r="O157" i="6"/>
  <c r="N158" i="6"/>
  <c r="O158" i="6"/>
  <c r="N159" i="6"/>
  <c r="O159" i="6"/>
  <c r="N160" i="6"/>
  <c r="O160" i="6"/>
  <c r="N161" i="6"/>
  <c r="O161" i="6"/>
  <c r="N162" i="6"/>
  <c r="O162" i="6"/>
  <c r="N163" i="6"/>
  <c r="O163" i="6"/>
  <c r="N164" i="6"/>
  <c r="O164" i="6"/>
  <c r="N165" i="6"/>
  <c r="O165" i="6"/>
  <c r="N166" i="6"/>
  <c r="O166" i="6"/>
  <c r="N167" i="6"/>
  <c r="O167" i="6"/>
  <c r="N168" i="6"/>
  <c r="O168" i="6"/>
  <c r="N169" i="6"/>
  <c r="O169" i="6"/>
  <c r="N170" i="6"/>
  <c r="O170" i="6"/>
  <c r="N171" i="6"/>
  <c r="O171" i="6"/>
  <c r="N172" i="6"/>
  <c r="O172" i="6"/>
  <c r="N173" i="6"/>
  <c r="O173" i="6"/>
  <c r="N174" i="6"/>
  <c r="O174" i="6"/>
  <c r="N175" i="6"/>
  <c r="O175" i="6"/>
  <c r="N176" i="6"/>
  <c r="O176" i="6"/>
  <c r="N177" i="6"/>
  <c r="O177" i="6"/>
  <c r="N178" i="6"/>
  <c r="O178" i="6"/>
  <c r="N179" i="6"/>
  <c r="O179" i="6"/>
  <c r="N180" i="6"/>
  <c r="O180" i="6"/>
  <c r="N181" i="6"/>
  <c r="O181" i="6"/>
  <c r="N182" i="6"/>
  <c r="O182" i="6"/>
  <c r="N183" i="6"/>
  <c r="O183" i="6"/>
  <c r="N184" i="6"/>
  <c r="O184" i="6"/>
  <c r="N185" i="6"/>
  <c r="O185" i="6"/>
  <c r="N186" i="6"/>
  <c r="O186" i="6"/>
  <c r="N187" i="6"/>
  <c r="O187" i="6"/>
  <c r="N188" i="6"/>
  <c r="O188" i="6"/>
  <c r="N189" i="6"/>
  <c r="O189" i="6"/>
  <c r="N190" i="6"/>
  <c r="O190" i="6"/>
  <c r="N191" i="6"/>
  <c r="O191" i="6"/>
  <c r="N192" i="6"/>
  <c r="O192" i="6"/>
  <c r="N193" i="6"/>
  <c r="O193" i="6"/>
  <c r="N194" i="6"/>
  <c r="O194" i="6"/>
  <c r="N195" i="6"/>
  <c r="O195" i="6"/>
  <c r="N196" i="6"/>
  <c r="O196" i="6"/>
  <c r="N197" i="6"/>
  <c r="O197" i="6"/>
  <c r="N198" i="6"/>
  <c r="O198" i="6"/>
  <c r="N199" i="6"/>
  <c r="O199" i="6"/>
  <c r="N200" i="6"/>
  <c r="O200" i="6"/>
  <c r="N201" i="6"/>
  <c r="O201" i="6"/>
  <c r="N202" i="6"/>
  <c r="O202" i="6"/>
  <c r="N203" i="6"/>
  <c r="O203" i="6"/>
  <c r="N204" i="6"/>
  <c r="O204" i="6"/>
  <c r="N205" i="6"/>
  <c r="O205" i="6"/>
  <c r="N206" i="6"/>
  <c r="O206" i="6"/>
  <c r="N207" i="6"/>
  <c r="O207" i="6"/>
  <c r="N208" i="6"/>
  <c r="O208" i="6"/>
  <c r="N209" i="6"/>
  <c r="O209" i="6"/>
  <c r="N210" i="6"/>
  <c r="O210" i="6"/>
  <c r="N211" i="6"/>
  <c r="O211" i="6"/>
  <c r="N212" i="6"/>
  <c r="O212" i="6"/>
  <c r="N213" i="6"/>
  <c r="O213" i="6"/>
  <c r="N214" i="6"/>
  <c r="O214" i="6"/>
  <c r="N215" i="6"/>
  <c r="O215" i="6"/>
  <c r="N216" i="6"/>
  <c r="O216" i="6"/>
  <c r="N217" i="6"/>
  <c r="O217" i="6"/>
  <c r="N218" i="6"/>
  <c r="O218" i="6"/>
  <c r="N219" i="6"/>
  <c r="O219" i="6"/>
  <c r="N220" i="6"/>
  <c r="O220" i="6"/>
  <c r="N221" i="6"/>
  <c r="O221" i="6"/>
  <c r="N222" i="6"/>
  <c r="O222" i="6"/>
  <c r="N223" i="6"/>
  <c r="O223" i="6"/>
  <c r="N224" i="6"/>
  <c r="O224" i="6"/>
  <c r="N225" i="6"/>
  <c r="O225" i="6"/>
  <c r="N226" i="6"/>
  <c r="O226" i="6"/>
  <c r="N227" i="6"/>
  <c r="O227" i="6"/>
  <c r="N228" i="6"/>
  <c r="O228" i="6"/>
  <c r="N229" i="6"/>
  <c r="O229" i="6"/>
  <c r="N230" i="6"/>
  <c r="O230" i="6"/>
  <c r="N231" i="6"/>
  <c r="O231" i="6"/>
  <c r="N232" i="6"/>
  <c r="O232" i="6"/>
  <c r="N233" i="6"/>
  <c r="O233" i="6"/>
  <c r="N234" i="6"/>
  <c r="O234" i="6"/>
  <c r="N235" i="6"/>
  <c r="O235" i="6"/>
  <c r="N236" i="6"/>
  <c r="O236" i="6"/>
  <c r="N237" i="6"/>
  <c r="O237" i="6"/>
  <c r="N238" i="6"/>
  <c r="O238" i="6"/>
  <c r="N239" i="6"/>
  <c r="O239" i="6"/>
  <c r="N240" i="6"/>
  <c r="O240" i="6"/>
  <c r="N241" i="6"/>
  <c r="O241" i="6"/>
  <c r="N242" i="6"/>
  <c r="O242" i="6"/>
  <c r="N243" i="6"/>
  <c r="O243" i="6"/>
  <c r="N244" i="6"/>
  <c r="O244" i="6"/>
  <c r="N245" i="6"/>
  <c r="O245" i="6"/>
  <c r="N246" i="6"/>
  <c r="O246" i="6"/>
  <c r="N247" i="6"/>
  <c r="O247" i="6"/>
  <c r="N248" i="6"/>
  <c r="O248" i="6"/>
  <c r="N249" i="6"/>
  <c r="O249" i="6"/>
  <c r="N250" i="6"/>
  <c r="O250" i="6"/>
  <c r="N251" i="6"/>
  <c r="O251" i="6"/>
  <c r="N252" i="6"/>
  <c r="O252" i="6"/>
  <c r="N253" i="6"/>
  <c r="O253" i="6"/>
  <c r="N254" i="6"/>
  <c r="O254" i="6"/>
  <c r="N255" i="6"/>
  <c r="O255" i="6"/>
  <c r="N256" i="6"/>
  <c r="O256" i="6"/>
  <c r="N257" i="6"/>
  <c r="O257" i="6"/>
  <c r="N258" i="6"/>
  <c r="O258" i="6"/>
  <c r="N259" i="6"/>
  <c r="O259" i="6"/>
  <c r="N260" i="6"/>
  <c r="O260" i="6"/>
  <c r="N261" i="6"/>
  <c r="O261" i="6"/>
  <c r="N262" i="6"/>
  <c r="O262" i="6"/>
</calcChain>
</file>

<file path=xl/sharedStrings.xml><?xml version="1.0" encoding="utf-8"?>
<sst xmlns="http://schemas.openxmlformats.org/spreadsheetml/2006/main" count="2449" uniqueCount="526">
  <si>
    <t xml:space="preserve">Ergebnis Experiment-Serie </t>
  </si>
  <si>
    <t>lfd. Nr.</t>
  </si>
  <si>
    <t>Spieler-Name</t>
  </si>
  <si>
    <t>Anzahl Spiele</t>
  </si>
  <si>
    <t>Ergebnis</t>
  </si>
  <si>
    <t>relatives Ergebnise</t>
  </si>
  <si>
    <t>Zeitbedarf</t>
  </si>
  <si>
    <t>ExpVersion</t>
  </si>
  <si>
    <t>tess</t>
  </si>
  <si>
    <t>v1</t>
  </si>
  <si>
    <t>barelybreath</t>
  </si>
  <si>
    <t>Benno_3</t>
  </si>
  <si>
    <t>wachowboy</t>
  </si>
  <si>
    <t>Müller</t>
  </si>
  <si>
    <t>1,0100011101e+013</t>
  </si>
  <si>
    <t>Rini</t>
  </si>
  <si>
    <t>JK1991</t>
  </si>
  <si>
    <t>schwarzes Schaf</t>
  </si>
  <si>
    <t>hansdieter</t>
  </si>
  <si>
    <t>Josefine</t>
  </si>
  <si>
    <t>PiLo</t>
  </si>
  <si>
    <t>Anastasia</t>
  </si>
  <si>
    <t>malicious</t>
  </si>
  <si>
    <t>Nidhoeggr</t>
  </si>
  <si>
    <t>Matthias</t>
  </si>
  <si>
    <t>Scholin</t>
  </si>
  <si>
    <t>Merle</t>
  </si>
  <si>
    <t>Pili</t>
  </si>
  <si>
    <t>Shlomo</t>
  </si>
  <si>
    <t>ColdPriest</t>
  </si>
  <si>
    <t>Charlie</t>
  </si>
  <si>
    <t>Püscher</t>
  </si>
  <si>
    <t>Genie</t>
  </si>
  <si>
    <t>TinkerBell</t>
  </si>
  <si>
    <t>Kenny</t>
  </si>
  <si>
    <t>Nik</t>
  </si>
  <si>
    <t>FreshKamil</t>
  </si>
  <si>
    <t>NiSs</t>
  </si>
  <si>
    <t>Horst-Kevin</t>
  </si>
  <si>
    <t>michelle</t>
  </si>
  <si>
    <t>Momo</t>
  </si>
  <si>
    <t>Asus32</t>
  </si>
  <si>
    <t>TSykes</t>
  </si>
  <si>
    <t>Fronti_1</t>
  </si>
  <si>
    <t>Mürmeli</t>
  </si>
  <si>
    <t>Teilnehmer</t>
  </si>
  <si>
    <t>Recon</t>
  </si>
  <si>
    <t>ARosa</t>
  </si>
  <si>
    <t>kino</t>
  </si>
  <si>
    <t>Toady</t>
  </si>
  <si>
    <t>Dorothee</t>
  </si>
  <si>
    <t>Eagle_bene</t>
  </si>
  <si>
    <t>Knorke</t>
  </si>
  <si>
    <t>Minka</t>
  </si>
  <si>
    <t>lottakuchen</t>
  </si>
  <si>
    <t>PowerPuffGirl</t>
  </si>
  <si>
    <t>heisenberg</t>
  </si>
  <si>
    <t>animus</t>
  </si>
  <si>
    <t>Furlinger</t>
  </si>
  <si>
    <t>bjo94</t>
  </si>
  <si>
    <t>Alex</t>
  </si>
  <si>
    <t>Trombidu</t>
  </si>
  <si>
    <t>Marillion</t>
  </si>
  <si>
    <t>Derbolt</t>
  </si>
  <si>
    <t>Püppilotta_1</t>
  </si>
  <si>
    <t>v2</t>
  </si>
  <si>
    <t>Dosko</t>
  </si>
  <si>
    <t>Benno_2</t>
  </si>
  <si>
    <t>Benno_4</t>
  </si>
  <si>
    <t>Au-NP</t>
  </si>
  <si>
    <t>Hopper</t>
  </si>
  <si>
    <t>blub</t>
  </si>
  <si>
    <t>Pauline</t>
  </si>
  <si>
    <t>Tine</t>
  </si>
  <si>
    <t>Hannaney</t>
  </si>
  <si>
    <t>Buddy</t>
  </si>
  <si>
    <t>Lena</t>
  </si>
  <si>
    <t>Kalpp</t>
  </si>
  <si>
    <t>ElephantsLady</t>
  </si>
  <si>
    <t>Pünktchen</t>
  </si>
  <si>
    <t>Katze_1</t>
  </si>
  <si>
    <t>Moonstar</t>
  </si>
  <si>
    <t>lexy008_1</t>
  </si>
  <si>
    <t>Minka_1</t>
  </si>
  <si>
    <t>Sayid</t>
  </si>
  <si>
    <t>Clara0803</t>
  </si>
  <si>
    <t>Scruffy</t>
  </si>
  <si>
    <t>sven</t>
  </si>
  <si>
    <t>Moppelfee</t>
  </si>
  <si>
    <t>Schinkenkäse</t>
  </si>
  <si>
    <t>Schinkenkäse_1</t>
  </si>
  <si>
    <t>Apollo</t>
  </si>
  <si>
    <t>pb263</t>
  </si>
  <si>
    <t>Kokowahasi</t>
  </si>
  <si>
    <t>Dave213rd</t>
  </si>
  <si>
    <t>Katharina.götz</t>
  </si>
  <si>
    <t>voices</t>
  </si>
  <si>
    <t>atmx</t>
  </si>
  <si>
    <t>Airvernel</t>
  </si>
  <si>
    <t>mattigol_1</t>
  </si>
  <si>
    <t>Lulu</t>
  </si>
  <si>
    <t>Francis</t>
  </si>
  <si>
    <t>Turisas</t>
  </si>
  <si>
    <t>Iwan</t>
  </si>
  <si>
    <t>Apfelsine</t>
  </si>
  <si>
    <t>clyandro</t>
  </si>
  <si>
    <t>ghostbuster_no2</t>
  </si>
  <si>
    <t>v3</t>
  </si>
  <si>
    <t>lexy008_3</t>
  </si>
  <si>
    <t>Akylios</t>
  </si>
  <si>
    <t>Käfer_1</t>
  </si>
  <si>
    <t>cloem</t>
  </si>
  <si>
    <t>JanDal</t>
  </si>
  <si>
    <t>Usus</t>
  </si>
  <si>
    <t>MOfiHM</t>
  </si>
  <si>
    <t>Haribo</t>
  </si>
  <si>
    <t>Püppilotta</t>
  </si>
  <si>
    <t>Derby</t>
  </si>
  <si>
    <t>Hannoveraner</t>
  </si>
  <si>
    <t>Bingo123</t>
  </si>
  <si>
    <t>Zylixae</t>
  </si>
  <si>
    <t>Hatschipuh</t>
  </si>
  <si>
    <t>David</t>
  </si>
  <si>
    <t>NoName</t>
  </si>
  <si>
    <t>Torpedo0212</t>
  </si>
  <si>
    <t>SirSkulduggery</t>
  </si>
  <si>
    <t>Managarm</t>
  </si>
  <si>
    <t>Expanium</t>
  </si>
  <si>
    <t>Cookie</t>
  </si>
  <si>
    <t>Finakatze</t>
  </si>
  <si>
    <t>Odysseus</t>
  </si>
  <si>
    <t>Acetyl</t>
  </si>
  <si>
    <t>Falcon2Blue</t>
  </si>
  <si>
    <t>Courtis</t>
  </si>
  <si>
    <t>duplo</t>
  </si>
  <si>
    <t>kochtopf</t>
  </si>
  <si>
    <t>TeddyScrooge</t>
  </si>
  <si>
    <t>Robtr</t>
  </si>
  <si>
    <t>Benno_1</t>
  </si>
  <si>
    <t>Pizzaface</t>
  </si>
  <si>
    <t>Käsekuchenkönig</t>
  </si>
  <si>
    <t>aThor</t>
  </si>
  <si>
    <t>CJ1</t>
  </si>
  <si>
    <t>pinkerpete</t>
  </si>
  <si>
    <t>sebnuclear</t>
  </si>
  <si>
    <t>Mit</t>
  </si>
  <si>
    <t>bmg_1900</t>
  </si>
  <si>
    <t>kazu</t>
  </si>
  <si>
    <t>H0nk1T0nk</t>
  </si>
  <si>
    <t>mattigol</t>
  </si>
  <si>
    <t>Bart</t>
  </si>
  <si>
    <t>Rose</t>
  </si>
  <si>
    <t>pk</t>
  </si>
  <si>
    <t>Kakadu</t>
  </si>
  <si>
    <t>Hermine</t>
  </si>
  <si>
    <t>Ontchen</t>
  </si>
  <si>
    <t>Curtiss</t>
  </si>
  <si>
    <t>YOKO</t>
  </si>
  <si>
    <t>Crispine</t>
  </si>
  <si>
    <t>Sayid_1</t>
  </si>
  <si>
    <t>maxren</t>
  </si>
  <si>
    <t xml:space="preserve">Ergebnis Experiment-Serie V3 </t>
  </si>
  <si>
    <t>Ergebnis Experiment-Serie V2</t>
  </si>
  <si>
    <t>Ergebnis Experiment-Serie V1</t>
  </si>
  <si>
    <t>value</t>
  </si>
  <si>
    <t>Gewinn</t>
  </si>
  <si>
    <t>email</t>
  </si>
  <si>
    <t>nextURL</t>
  </si>
  <si>
    <t>rel Erg</t>
  </si>
  <si>
    <t>t</t>
  </si>
  <si>
    <t>V.123</t>
  </si>
  <si>
    <t>K</t>
  </si>
  <si>
    <t>LucaG</t>
  </si>
  <si>
    <t>Alcedo</t>
  </si>
  <si>
    <t>Yuca</t>
  </si>
  <si>
    <t>in</t>
  </si>
  <si>
    <t>frida.gieskanne</t>
  </si>
  <si>
    <t>marie</t>
  </si>
  <si>
    <t>MC Fatigue</t>
  </si>
  <si>
    <t>KiJu</t>
  </si>
  <si>
    <t>dida</t>
  </si>
  <si>
    <t>Bella</t>
  </si>
  <si>
    <t>HeyLauriii</t>
  </si>
  <si>
    <t>Luke</t>
  </si>
  <si>
    <t>Anabena</t>
  </si>
  <si>
    <t>Sling</t>
  </si>
  <si>
    <t>Hazard</t>
  </si>
  <si>
    <t>Hilflos</t>
  </si>
  <si>
    <t>Pommes</t>
  </si>
  <si>
    <t>BebiCat</t>
  </si>
  <si>
    <t>vampire</t>
  </si>
  <si>
    <t>lfd# Nr#</t>
  </si>
  <si>
    <t>6,9714128882e+018</t>
  </si>
  <si>
    <t>9,221412766e+018</t>
  </si>
  <si>
    <t>6,7814127592e+018</t>
  </si>
  <si>
    <t>6,5214128746e+018</t>
  </si>
  <si>
    <t>1,0141262487e+017</t>
  </si>
  <si>
    <t>7,7714127834e+017</t>
  </si>
  <si>
    <t>5,9914127731e+018</t>
  </si>
  <si>
    <t>4,1614136395e+018</t>
  </si>
  <si>
    <t>8,4614126022e+018</t>
  </si>
  <si>
    <t>9,9214126769e+018</t>
  </si>
  <si>
    <t>6,6714126824e+017</t>
  </si>
  <si>
    <t>2,9414132785e+018</t>
  </si>
  <si>
    <t>5,6614127024e+018</t>
  </si>
  <si>
    <t>1,8141261907e+017</t>
  </si>
  <si>
    <t>6,2514126834e+018</t>
  </si>
  <si>
    <t>6,4314126235e+018</t>
  </si>
  <si>
    <t>6,6714131173e+018</t>
  </si>
  <si>
    <t>1,8814126953e+018</t>
  </si>
  <si>
    <t>9,7914126315e+018</t>
  </si>
  <si>
    <t>8,1114126294e+018</t>
  </si>
  <si>
    <t>5,6214126217e+017</t>
  </si>
  <si>
    <t>1,2214126376e+018</t>
  </si>
  <si>
    <t>9,1014126208e+018</t>
  </si>
  <si>
    <t>4,2414126417e+018</t>
  </si>
  <si>
    <t>7,4814126227e+017</t>
  </si>
  <si>
    <t>4,7814126206e+018</t>
  </si>
  <si>
    <t>6,5214126742e+017</t>
  </si>
  <si>
    <t>3,3514126743e+018</t>
  </si>
  <si>
    <t>9,1614126743e+018</t>
  </si>
  <si>
    <t>3,4914126635e+018</t>
  </si>
  <si>
    <t>4,6214126759e+018</t>
  </si>
  <si>
    <t>3,5914126194e+018</t>
  </si>
  <si>
    <t>6,5014138332e+018</t>
  </si>
  <si>
    <t>4,0914125959e+018</t>
  </si>
  <si>
    <t>8,2714128666e+018</t>
  </si>
  <si>
    <t>2,5514126702e+018</t>
  </si>
  <si>
    <t>8,2314126241e+018</t>
  </si>
  <si>
    <t>9,1314128081e+018</t>
  </si>
  <si>
    <t>9,6414125943e+018</t>
  </si>
  <si>
    <t>7,7141381873e+017</t>
  </si>
  <si>
    <t>4,2714126221e+018</t>
  </si>
  <si>
    <t>2,8814138434e+018</t>
  </si>
  <si>
    <t>6,7314126264e+018</t>
  </si>
  <si>
    <t>1,401412699e+018</t>
  </si>
  <si>
    <t>7,1214126812e+018</t>
  </si>
  <si>
    <t>2,5314126846e+018</t>
  </si>
  <si>
    <t>4,2114126833e+018</t>
  </si>
  <si>
    <t>5,9914126248e+018</t>
  </si>
  <si>
    <t>7,8714126198e+018</t>
  </si>
  <si>
    <t>6,9714126244e+018</t>
  </si>
  <si>
    <t>3,6214126955e+018</t>
  </si>
  <si>
    <t>4,0514126736e+018</t>
  </si>
  <si>
    <t>1,3814126939e+018</t>
  </si>
  <si>
    <t>5,5141294805e+017</t>
  </si>
  <si>
    <t>9,6814135807e+018</t>
  </si>
  <si>
    <t>2,571412689e+018</t>
  </si>
  <si>
    <t>2,191412666e+018</t>
  </si>
  <si>
    <t>8,1412625624e+016</t>
  </si>
  <si>
    <t>4,7314127822e+018</t>
  </si>
  <si>
    <t>5,31141262e+018</t>
  </si>
  <si>
    <t>7,4814126369e+018</t>
  </si>
  <si>
    <t>4,8014126369e+018</t>
  </si>
  <si>
    <t>5,7814133179e+018</t>
  </si>
  <si>
    <t>6,9514127147e+018</t>
  </si>
  <si>
    <t>8,291412627e+016</t>
  </si>
  <si>
    <t>6,0814126274e+018</t>
  </si>
  <si>
    <t>8,3614126612e+018</t>
  </si>
  <si>
    <t>8,9114126215e+018</t>
  </si>
  <si>
    <t>6,6214129719e+018</t>
  </si>
  <si>
    <t>6,4614126309e+018</t>
  </si>
  <si>
    <t>4,0214128564e+018</t>
  </si>
  <si>
    <t>1,9614126214e+018</t>
  </si>
  <si>
    <t>9,5814133705e+018</t>
  </si>
  <si>
    <t>3,3114126865e+018</t>
  </si>
  <si>
    <t>7,7114126221e+018</t>
  </si>
  <si>
    <t>8,6114149393e+018</t>
  </si>
  <si>
    <t>4,4314126905e+018</t>
  </si>
  <si>
    <t>5,6014127819e+017</t>
  </si>
  <si>
    <t>3,8514126717e+017</t>
  </si>
  <si>
    <t>3,0414128814e+018</t>
  </si>
  <si>
    <t>5,6314125981e+018</t>
  </si>
  <si>
    <t>8,381412966e+018</t>
  </si>
  <si>
    <t>3,6414126293e+018</t>
  </si>
  <si>
    <t>2,6114126234e+018</t>
  </si>
  <si>
    <t>8,1914126268e+018</t>
  </si>
  <si>
    <t>3,8141262314e+017</t>
  </si>
  <si>
    <t>1,9414131993e+018</t>
  </si>
  <si>
    <t>1,3114126204e+018</t>
  </si>
  <si>
    <t>8,7714127115e+018</t>
  </si>
  <si>
    <t>8,4414126216e+018</t>
  </si>
  <si>
    <t>7,8141348564e+017</t>
  </si>
  <si>
    <t>2,2814130612e+018</t>
  </si>
  <si>
    <t>5,4914127424e+018</t>
  </si>
  <si>
    <t>8,6914126901e+018</t>
  </si>
  <si>
    <t>5,0514126237e+018</t>
  </si>
  <si>
    <t>6,1714132395e+018</t>
  </si>
  <si>
    <t>7,9914128436e+018</t>
  </si>
  <si>
    <t>9,7914126908e+017</t>
  </si>
  <si>
    <t>5,3614126386e+018</t>
  </si>
  <si>
    <t>4,9714126635e+018</t>
  </si>
  <si>
    <t>3,7814126325e+018</t>
  </si>
  <si>
    <t>6,8914133114e+018</t>
  </si>
  <si>
    <t>7,0314128007e+018</t>
  </si>
  <si>
    <t>7,4914126218e+018</t>
  </si>
  <si>
    <t>2,0141268636e+017</t>
  </si>
  <si>
    <t>8,2214127004e+018</t>
  </si>
  <si>
    <t>8,171412689e+018</t>
  </si>
  <si>
    <t>2,421412716e+018</t>
  </si>
  <si>
    <t>6,7314126846e+018</t>
  </si>
  <si>
    <t/>
  </si>
  <si>
    <t>Los</t>
  </si>
  <si>
    <t>Leistung</t>
  </si>
  <si>
    <t>Suchwert:</t>
  </si>
  <si>
    <t>6081412627377430657</t>
  </si>
  <si>
    <t>'</t>
  </si>
  <si>
    <t>69714128882e+018</t>
  </si>
  <si>
    <t>9221412766e+018</t>
  </si>
  <si>
    <t>67814127592e+018</t>
  </si>
  <si>
    <t>65214128746e+018</t>
  </si>
  <si>
    <t>10141262487e+017</t>
  </si>
  <si>
    <t>77714127834e+017</t>
  </si>
  <si>
    <t>59914127731e+018</t>
  </si>
  <si>
    <t>41614136395e+018</t>
  </si>
  <si>
    <t>84614126022e+018</t>
  </si>
  <si>
    <t>99214126769e+018</t>
  </si>
  <si>
    <t>66714126824e+017</t>
  </si>
  <si>
    <t>29414132785e+018</t>
  </si>
  <si>
    <t>56614127024e+018</t>
  </si>
  <si>
    <t>19414131993e+018</t>
  </si>
  <si>
    <t>18141261907e+017</t>
  </si>
  <si>
    <t>62514126834e+018</t>
  </si>
  <si>
    <t>64314126235e+018</t>
  </si>
  <si>
    <t>18814126953e+018</t>
  </si>
  <si>
    <t>97914126315e+018</t>
  </si>
  <si>
    <t>66714131173e+018</t>
  </si>
  <si>
    <t>81114126294e+018</t>
  </si>
  <si>
    <t>56214126217e+017</t>
  </si>
  <si>
    <t>12214126376e+018</t>
  </si>
  <si>
    <t>91014126208e+018</t>
  </si>
  <si>
    <t>42414126417e+018</t>
  </si>
  <si>
    <t>74814126227e+017</t>
  </si>
  <si>
    <t>82714128666e+018</t>
  </si>
  <si>
    <t>91314128081e+018</t>
  </si>
  <si>
    <t>47814126206e+018</t>
  </si>
  <si>
    <t>33514126743e+018</t>
  </si>
  <si>
    <t>65214126742e+017</t>
  </si>
  <si>
    <t>91614126743e+018</t>
  </si>
  <si>
    <t>34914126635e+018</t>
  </si>
  <si>
    <t>46214126759e+018</t>
  </si>
  <si>
    <t>35914126194e+018</t>
  </si>
  <si>
    <t>65014138332e+018</t>
  </si>
  <si>
    <t>25514126702e+018</t>
  </si>
  <si>
    <t>82314126241e+018</t>
  </si>
  <si>
    <t>96414125943e+018</t>
  </si>
  <si>
    <t>40914125959e+018</t>
  </si>
  <si>
    <t>42714126221e+018</t>
  </si>
  <si>
    <t>28814138434e+018</t>
  </si>
  <si>
    <t>67314126264e+018</t>
  </si>
  <si>
    <t>77141381873e+017</t>
  </si>
  <si>
    <t>1401412699e+018</t>
  </si>
  <si>
    <t>71214126812e+018</t>
  </si>
  <si>
    <t>25314126846e+018</t>
  </si>
  <si>
    <t>42114126833e+018</t>
  </si>
  <si>
    <t>59914126248e+018</t>
  </si>
  <si>
    <t>78714126198e+018</t>
  </si>
  <si>
    <t>69514127147e+018</t>
  </si>
  <si>
    <t>69714126244e+018</t>
  </si>
  <si>
    <t>36214126955e+018</t>
  </si>
  <si>
    <t>33114126865e+018</t>
  </si>
  <si>
    <t>40214128564e+018</t>
  </si>
  <si>
    <t>40514126736e+018</t>
  </si>
  <si>
    <t>13814126939e+018</t>
  </si>
  <si>
    <t>55141294805e+017</t>
  </si>
  <si>
    <t>96814135807e+018</t>
  </si>
  <si>
    <t>2571412689e+018</t>
  </si>
  <si>
    <t>2191412666e+018</t>
  </si>
  <si>
    <t>47314127822e+018</t>
  </si>
  <si>
    <t>531141262e+018</t>
  </si>
  <si>
    <t>48014126369e+018</t>
  </si>
  <si>
    <t>74814126369e+018</t>
  </si>
  <si>
    <t>57814133179e+018</t>
  </si>
  <si>
    <t>60814126274e+018</t>
  </si>
  <si>
    <t>8291412627e+016</t>
  </si>
  <si>
    <t>83614126612e+018</t>
  </si>
  <si>
    <t>89114126215e+018</t>
  </si>
  <si>
    <t>66214129719e+018</t>
  </si>
  <si>
    <t>64614126309e+018</t>
  </si>
  <si>
    <t>19614126214e+018</t>
  </si>
  <si>
    <t>95814133705e+018</t>
  </si>
  <si>
    <t>77114126221e+018</t>
  </si>
  <si>
    <t>86114149393e+018</t>
  </si>
  <si>
    <t>81412625624e+016</t>
  </si>
  <si>
    <t>86914126901e+018</t>
  </si>
  <si>
    <t>56014127819e+017</t>
  </si>
  <si>
    <t>38514126717e+017</t>
  </si>
  <si>
    <t>30414128814e+018</t>
  </si>
  <si>
    <t>44314126905e+018</t>
  </si>
  <si>
    <t>56314125981e+018</t>
  </si>
  <si>
    <t>8381412966e+018</t>
  </si>
  <si>
    <t>36414126293e+018</t>
  </si>
  <si>
    <t>87714127115e+018</t>
  </si>
  <si>
    <t>26114126234e+018</t>
  </si>
  <si>
    <t>38141262314e+017</t>
  </si>
  <si>
    <t>13114126204e+018</t>
  </si>
  <si>
    <t>78141348564e+017</t>
  </si>
  <si>
    <t>22814130612e+018</t>
  </si>
  <si>
    <t>54914127424e+018</t>
  </si>
  <si>
    <t>84414126216e+018</t>
  </si>
  <si>
    <t>50514126237e+018</t>
  </si>
  <si>
    <t>61714132395e+018</t>
  </si>
  <si>
    <t>79914128436e+018</t>
  </si>
  <si>
    <t>97914126908e+017</t>
  </si>
  <si>
    <t>53614126386e+018</t>
  </si>
  <si>
    <t>49714126635e+018</t>
  </si>
  <si>
    <t>37814126325e+018</t>
  </si>
  <si>
    <t>70314128007e+018</t>
  </si>
  <si>
    <t>81914126268e+018</t>
  </si>
  <si>
    <t>74914126218e+018</t>
  </si>
  <si>
    <t>20141268636e+017</t>
  </si>
  <si>
    <t>68914133114e+018</t>
  </si>
  <si>
    <t>82214127004e+018</t>
  </si>
  <si>
    <t>8171412689e+018</t>
  </si>
  <si>
    <t>2421412716e+018</t>
  </si>
  <si>
    <t>67314126846e+018</t>
  </si>
  <si>
    <t>69714128882</t>
  </si>
  <si>
    <t>9221412766</t>
  </si>
  <si>
    <t>67814127592</t>
  </si>
  <si>
    <t>65214128746</t>
  </si>
  <si>
    <t>10141262487</t>
  </si>
  <si>
    <t>77714127834</t>
  </si>
  <si>
    <t>59914127731</t>
  </si>
  <si>
    <t>41614136395</t>
  </si>
  <si>
    <t>84614126022</t>
  </si>
  <si>
    <t>99214126769</t>
  </si>
  <si>
    <t>66714126824</t>
  </si>
  <si>
    <t>29414132785</t>
  </si>
  <si>
    <t>56614127024</t>
  </si>
  <si>
    <t>19414131993</t>
  </si>
  <si>
    <t>18141261907</t>
  </si>
  <si>
    <t>62514126834</t>
  </si>
  <si>
    <t>64314126235</t>
  </si>
  <si>
    <t>18814126953</t>
  </si>
  <si>
    <t>97914126315</t>
  </si>
  <si>
    <t>66714131173</t>
  </si>
  <si>
    <t>81114126294</t>
  </si>
  <si>
    <t>56214126217</t>
  </si>
  <si>
    <t>12214126376</t>
  </si>
  <si>
    <t>91014126208</t>
  </si>
  <si>
    <t>42414126417</t>
  </si>
  <si>
    <t>74814126227</t>
  </si>
  <si>
    <t>82714128666</t>
  </si>
  <si>
    <t>91314128081</t>
  </si>
  <si>
    <t>47814126206</t>
  </si>
  <si>
    <t>33514126743</t>
  </si>
  <si>
    <t>65214126742</t>
  </si>
  <si>
    <t>91614126743</t>
  </si>
  <si>
    <t>34914126635</t>
  </si>
  <si>
    <t>46214126759</t>
  </si>
  <si>
    <t>35914126194</t>
  </si>
  <si>
    <t>65014138332</t>
  </si>
  <si>
    <t>25514126702</t>
  </si>
  <si>
    <t>82314126241</t>
  </si>
  <si>
    <t>96414125943</t>
  </si>
  <si>
    <t>40914125959</t>
  </si>
  <si>
    <t>42714126221</t>
  </si>
  <si>
    <t>28814138434</t>
  </si>
  <si>
    <t>67314126264</t>
  </si>
  <si>
    <t>77141381873</t>
  </si>
  <si>
    <t>1401412699</t>
  </si>
  <si>
    <t>71214126812</t>
  </si>
  <si>
    <t>25314126846</t>
  </si>
  <si>
    <t>42114126833</t>
  </si>
  <si>
    <t>59914126248</t>
  </si>
  <si>
    <t>78714126198</t>
  </si>
  <si>
    <t>69514127147</t>
  </si>
  <si>
    <t>69714126244</t>
  </si>
  <si>
    <t>36214126955</t>
  </si>
  <si>
    <t>33114126865</t>
  </si>
  <si>
    <t>40214128564</t>
  </si>
  <si>
    <t>40514126736</t>
  </si>
  <si>
    <t>13814126939</t>
  </si>
  <si>
    <t>55141294805</t>
  </si>
  <si>
    <t>96814135807</t>
  </si>
  <si>
    <t>2571412689</t>
  </si>
  <si>
    <t>2191412666</t>
  </si>
  <si>
    <t>47314127822</t>
  </si>
  <si>
    <t>531141262</t>
  </si>
  <si>
    <t>48014126369</t>
  </si>
  <si>
    <t>74814126369</t>
  </si>
  <si>
    <t>57814133179</t>
  </si>
  <si>
    <t>60814126274</t>
  </si>
  <si>
    <t>8291412627</t>
  </si>
  <si>
    <t>83614126612</t>
  </si>
  <si>
    <t>89114126215</t>
  </si>
  <si>
    <t>66214129719</t>
  </si>
  <si>
    <t>64614126309</t>
  </si>
  <si>
    <t>19614126214</t>
  </si>
  <si>
    <t>95814133705</t>
  </si>
  <si>
    <t>77114126221</t>
  </si>
  <si>
    <t>86114149393</t>
  </si>
  <si>
    <t>81412625624</t>
  </si>
  <si>
    <t>86914126901</t>
  </si>
  <si>
    <t>56014127819</t>
  </si>
  <si>
    <t>38514126717</t>
  </si>
  <si>
    <t>30414128814</t>
  </si>
  <si>
    <t>44314126905</t>
  </si>
  <si>
    <t>56314125981</t>
  </si>
  <si>
    <t>8381412966</t>
  </si>
  <si>
    <t>36414126293</t>
  </si>
  <si>
    <t>87714127115</t>
  </si>
  <si>
    <t>26114126234</t>
  </si>
  <si>
    <t>38141262314</t>
  </si>
  <si>
    <t>13114126204</t>
  </si>
  <si>
    <t>78141348564</t>
  </si>
  <si>
    <t>22814130612</t>
  </si>
  <si>
    <t>54914127424</t>
  </si>
  <si>
    <t>84414126216</t>
  </si>
  <si>
    <t>50514126237</t>
  </si>
  <si>
    <t>61714132395</t>
  </si>
  <si>
    <t>79914128436</t>
  </si>
  <si>
    <t>97914126908</t>
  </si>
  <si>
    <t>53614126386</t>
  </si>
  <si>
    <t>49714126635</t>
  </si>
  <si>
    <t>37814126325</t>
  </si>
  <si>
    <t>70314128007</t>
  </si>
  <si>
    <t>81914126268</t>
  </si>
  <si>
    <t>74914126218</t>
  </si>
  <si>
    <t>20141268636</t>
  </si>
  <si>
    <t>68914133114</t>
  </si>
  <si>
    <t>82214127004</t>
  </si>
  <si>
    <t>8171412689</t>
  </si>
  <si>
    <t>2421412716</t>
  </si>
  <si>
    <t>67314126846</t>
  </si>
  <si>
    <t>6971412888255852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</si>
</sst>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0"/>
      <color theme="1"/>
      <name val="Arial"/>
      <family val="2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1"/>
      <color rgb="FF000000"/>
      <name val="Calibri"/>
    </font>
  </fonts>
  <fills count="3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C0C0"/>
        <bgColor rgb="FFC0C0C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D0D7E5"/>
      </left>
      <right style="thin">
        <color rgb="FFD0D7E5"/>
      </right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90">
    <xf numFmtId="0" fontId="0" fillId="0" borderId="0"/>
    <xf numFmtId="0" fontId="2" fillId="0" borderId="0"/>
    <xf numFmtId="0" fontId="7" fillId="0" borderId="0" applyNumberFormat="0" applyFill="0" applyBorder="0" applyAlignment="0" applyProtection="0"/>
    <xf numFmtId="0" fontId="8" fillId="0" borderId="23" applyNumberFormat="0" applyFill="0" applyAlignment="0" applyProtection="0"/>
    <xf numFmtId="0" fontId="9" fillId="0" borderId="24" applyNumberFormat="0" applyFill="0" applyAlignment="0" applyProtection="0"/>
    <xf numFmtId="0" fontId="10" fillId="0" borderId="25" applyNumberFormat="0" applyFill="0" applyAlignment="0" applyProtection="0"/>
    <xf numFmtId="0" fontId="10" fillId="0" borderId="0" applyNumberFormat="0" applyFill="0" applyBorder="0" applyAlignment="0" applyProtection="0"/>
    <xf numFmtId="0" fontId="11" fillId="7" borderId="0" applyNumberFormat="0" applyBorder="0" applyAlignment="0" applyProtection="0"/>
    <xf numFmtId="0" fontId="12" fillId="8" borderId="0" applyNumberFormat="0" applyBorder="0" applyAlignment="0" applyProtection="0"/>
    <xf numFmtId="0" fontId="13" fillId="9" borderId="0" applyNumberFormat="0" applyBorder="0" applyAlignment="0" applyProtection="0"/>
    <xf numFmtId="0" fontId="14" fillId="10" borderId="26" applyNumberFormat="0" applyAlignment="0" applyProtection="0"/>
    <xf numFmtId="0" fontId="15" fillId="11" borderId="27" applyNumberFormat="0" applyAlignment="0" applyProtection="0"/>
    <xf numFmtId="0" fontId="16" fillId="11" borderId="26" applyNumberFormat="0" applyAlignment="0" applyProtection="0"/>
    <xf numFmtId="0" fontId="17" fillId="0" borderId="28" applyNumberFormat="0" applyFill="0" applyAlignment="0" applyProtection="0"/>
    <xf numFmtId="0" fontId="18" fillId="12" borderId="29" applyNumberFormat="0" applyAlignment="0" applyProtection="0"/>
    <xf numFmtId="0" fontId="19" fillId="0" borderId="0" applyNumberFormat="0" applyFill="0" applyBorder="0" applyAlignment="0" applyProtection="0"/>
    <xf numFmtId="0" fontId="6" fillId="13" borderId="30" applyNumberFormat="0" applyFont="0" applyAlignment="0" applyProtection="0"/>
    <xf numFmtId="0" fontId="20" fillId="0" borderId="0" applyNumberFormat="0" applyFill="0" applyBorder="0" applyAlignment="0" applyProtection="0"/>
    <xf numFmtId="0" fontId="21" fillId="0" borderId="31" applyNumberFormat="0" applyFill="0" applyAlignment="0" applyProtection="0"/>
    <xf numFmtId="0" fontId="22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22" fillId="21" borderId="0" applyNumberFormat="0" applyBorder="0" applyAlignment="0" applyProtection="0"/>
    <xf numFmtId="0" fontId="22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22" fillId="33" borderId="0" applyNumberFormat="0" applyBorder="0" applyAlignment="0" applyProtection="0"/>
    <xf numFmtId="0" fontId="22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22" fillId="37" borderId="0" applyNumberFormat="0" applyBorder="0" applyAlignment="0" applyProtection="0"/>
    <xf numFmtId="0" fontId="2" fillId="0" borderId="0"/>
    <xf numFmtId="0" fontId="6" fillId="0" borderId="0"/>
    <xf numFmtId="0" fontId="6" fillId="13" borderId="30" applyNumberFormat="0" applyFont="0" applyAlignment="0" applyProtection="0"/>
    <xf numFmtId="0" fontId="6" fillId="0" borderId="0"/>
    <xf numFmtId="0" fontId="6" fillId="13" borderId="30" applyNumberFormat="0" applyFont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2" fillId="0" borderId="0"/>
    <xf numFmtId="0" fontId="2" fillId="0" borderId="0"/>
    <xf numFmtId="0" fontId="6" fillId="0" borderId="0"/>
    <xf numFmtId="0" fontId="6" fillId="13" borderId="30" applyNumberFormat="0" applyFont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6" fillId="0" borderId="0"/>
    <xf numFmtId="0" fontId="6" fillId="13" borderId="30" applyNumberFormat="0" applyFont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</cellStyleXfs>
  <cellXfs count="82">
    <xf numFmtId="0" fontId="0" fillId="0" borderId="0" xfId="0"/>
    <xf numFmtId="0" fontId="0" fillId="3" borderId="0" xfId="0" applyFill="1"/>
    <xf numFmtId="0" fontId="0" fillId="0" borderId="3" xfId="0" applyBorder="1"/>
    <xf numFmtId="0" fontId="0" fillId="4" borderId="4" xfId="0" applyFill="1" applyBorder="1"/>
    <xf numFmtId="0" fontId="0" fillId="0" borderId="4" xfId="0" applyBorder="1"/>
    <xf numFmtId="0" fontId="0" fillId="4" borderId="5" xfId="0" applyFill="1" applyBorder="1"/>
    <xf numFmtId="0" fontId="0" fillId="5" borderId="5" xfId="0" applyFill="1" applyBorder="1"/>
    <xf numFmtId="0" fontId="0" fillId="5" borderId="6" xfId="0" applyFill="1" applyBorder="1"/>
    <xf numFmtId="0" fontId="0" fillId="0" borderId="7" xfId="0" applyBorder="1"/>
    <xf numFmtId="0" fontId="0" fillId="0" borderId="11" xfId="0" applyBorder="1"/>
    <xf numFmtId="0" fontId="0" fillId="4" borderId="12" xfId="0" applyFill="1" applyBorder="1"/>
    <xf numFmtId="0" fontId="0" fillId="0" borderId="12" xfId="0" applyBorder="1"/>
    <xf numFmtId="0" fontId="0" fillId="4" borderId="13" xfId="0" applyFill="1" applyBorder="1"/>
    <xf numFmtId="0" fontId="0" fillId="5" borderId="13" xfId="0" applyFill="1" applyBorder="1"/>
    <xf numFmtId="0" fontId="0" fillId="5" borderId="14" xfId="0" applyFill="1" applyBorder="1"/>
    <xf numFmtId="0" fontId="0" fillId="0" borderId="15" xfId="0" applyBorder="1"/>
    <xf numFmtId="0" fontId="0" fillId="4" borderId="16" xfId="0" applyFill="1" applyBorder="1"/>
    <xf numFmtId="0" fontId="0" fillId="0" borderId="16" xfId="0" applyBorder="1"/>
    <xf numFmtId="0" fontId="0" fillId="4" borderId="17" xfId="0" applyFill="1" applyBorder="1"/>
    <xf numFmtId="0" fontId="0" fillId="5" borderId="17" xfId="0" applyFill="1" applyBorder="1"/>
    <xf numFmtId="0" fontId="0" fillId="5" borderId="18" xfId="0" applyFill="1" applyBorder="1"/>
    <xf numFmtId="0" fontId="0" fillId="5" borderId="0" xfId="0" applyFill="1"/>
    <xf numFmtId="0" fontId="2" fillId="0" borderId="0" xfId="1"/>
    <xf numFmtId="0" fontId="3" fillId="6" borderId="20" xfId="1" applyFont="1" applyFill="1" applyBorder="1" applyAlignment="1" applyProtection="1">
      <alignment horizontal="center" vertical="center"/>
    </xf>
    <xf numFmtId="0" fontId="3" fillId="6" borderId="20" xfId="1" applyNumberFormat="1" applyFont="1" applyFill="1" applyBorder="1" applyAlignment="1" applyProtection="1">
      <alignment horizontal="center" vertical="center"/>
    </xf>
    <xf numFmtId="0" fontId="4" fillId="0" borderId="21" xfId="1" applyNumberFormat="1" applyFont="1" applyFill="1" applyBorder="1" applyAlignment="1" applyProtection="1">
      <alignment horizontal="right" vertical="center" wrapText="1"/>
    </xf>
    <xf numFmtId="0" fontId="4" fillId="0" borderId="0" xfId="1" applyNumberFormat="1" applyFont="1" applyFill="1" applyBorder="1" applyAlignment="1" applyProtection="1">
      <alignment horizontal="right" vertical="center" wrapText="1"/>
    </xf>
    <xf numFmtId="0" fontId="2" fillId="0" borderId="0" xfId="1" applyNumberFormat="1"/>
    <xf numFmtId="1" fontId="0" fillId="0" borderId="0" xfId="0" applyNumberFormat="1"/>
    <xf numFmtId="0" fontId="5" fillId="6" borderId="22" xfId="1" applyFont="1" applyFill="1" applyBorder="1" applyAlignment="1" applyProtection="1">
      <alignment horizontal="center" vertical="center"/>
    </xf>
    <xf numFmtId="0" fontId="0" fillId="0" borderId="8" xfId="0" applyBorder="1"/>
    <xf numFmtId="0" fontId="0" fillId="0" borderId="7" xfId="0" applyBorder="1"/>
    <xf numFmtId="0" fontId="0" fillId="4" borderId="12" xfId="0" applyFill="1" applyBorder="1"/>
    <xf numFmtId="0" fontId="0" fillId="0" borderId="11" xfId="0" applyBorder="1"/>
    <xf numFmtId="0" fontId="0" fillId="0" borderId="12" xfId="0" applyBorder="1"/>
    <xf numFmtId="0" fontId="0" fillId="4" borderId="8" xfId="0" applyFill="1" applyBorder="1"/>
    <xf numFmtId="0" fontId="0" fillId="4" borderId="13" xfId="0" applyFill="1" applyBorder="1"/>
    <xf numFmtId="0" fontId="0" fillId="4" borderId="9" xfId="0" applyFill="1" applyBorder="1"/>
    <xf numFmtId="0" fontId="0" fillId="5" borderId="10" xfId="0" applyFill="1" applyBorder="1"/>
    <xf numFmtId="0" fontId="0" fillId="5" borderId="14" xfId="0" applyFill="1" applyBorder="1"/>
    <xf numFmtId="0" fontId="0" fillId="5" borderId="9" xfId="0" applyFill="1" applyBorder="1"/>
    <xf numFmtId="0" fontId="0" fillId="5" borderId="13" xfId="0" applyFill="1" applyBorder="1"/>
    <xf numFmtId="0" fontId="0" fillId="0" borderId="7" xfId="0" applyBorder="1"/>
    <xf numFmtId="0" fontId="0" fillId="4" borderId="12" xfId="0" applyFill="1" applyBorder="1"/>
    <xf numFmtId="0" fontId="0" fillId="0" borderId="11" xfId="0" applyBorder="1"/>
    <xf numFmtId="0" fontId="0" fillId="0" borderId="12" xfId="0" applyBorder="1"/>
    <xf numFmtId="0" fontId="0" fillId="4" borderId="13" xfId="0" applyFill="1" applyBorder="1"/>
    <xf numFmtId="0" fontId="0" fillId="5" borderId="14" xfId="0" applyFill="1" applyBorder="1"/>
    <xf numFmtId="0" fontId="0" fillId="5" borderId="13" xfId="0" applyFill="1" applyBorder="1"/>
    <xf numFmtId="0" fontId="0" fillId="0" borderId="0" xfId="0"/>
    <xf numFmtId="0" fontId="0" fillId="0" borderId="8" xfId="0" applyBorder="1"/>
    <xf numFmtId="0" fontId="0" fillId="0" borderId="7" xfId="0" applyBorder="1"/>
    <xf numFmtId="0" fontId="0" fillId="4" borderId="12" xfId="0" applyFill="1" applyBorder="1"/>
    <xf numFmtId="0" fontId="0" fillId="0" borderId="11" xfId="0" applyBorder="1"/>
    <xf numFmtId="0" fontId="0" fillId="0" borderId="12" xfId="0" applyBorder="1"/>
    <xf numFmtId="0" fontId="0" fillId="4" borderId="8" xfId="0" applyFill="1" applyBorder="1"/>
    <xf numFmtId="0" fontId="0" fillId="4" borderId="13" xfId="0" applyFill="1" applyBorder="1"/>
    <xf numFmtId="0" fontId="0" fillId="4" borderId="9" xfId="0" applyFill="1" applyBorder="1"/>
    <xf numFmtId="0" fontId="0" fillId="5" borderId="10" xfId="0" applyFill="1" applyBorder="1"/>
    <xf numFmtId="0" fontId="0" fillId="5" borderId="14" xfId="0" applyFill="1" applyBorder="1"/>
    <xf numFmtId="0" fontId="0" fillId="5" borderId="9" xfId="0" applyFill="1" applyBorder="1"/>
    <xf numFmtId="0" fontId="0" fillId="5" borderId="13" xfId="0" applyFill="1" applyBorder="1"/>
    <xf numFmtId="0" fontId="3" fillId="6" borderId="12" xfId="0" applyFont="1" applyFill="1" applyBorder="1" applyAlignment="1" applyProtection="1">
      <alignment horizontal="center" vertical="center"/>
    </xf>
    <xf numFmtId="0" fontId="4" fillId="0" borderId="19" xfId="0" applyFont="1" applyFill="1" applyBorder="1" applyAlignment="1" applyProtection="1">
      <alignment horizontal="right" vertical="center" wrapText="1"/>
    </xf>
    <xf numFmtId="0" fontId="23" fillId="0" borderId="19" xfId="0" applyFont="1" applyFill="1" applyBorder="1" applyAlignment="1" applyProtection="1">
      <alignment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0" xfId="0" quotePrefix="1"/>
    <xf numFmtId="0" fontId="3" fillId="6" borderId="20" xfId="0" applyFont="1" applyFill="1" applyBorder="1" applyAlignment="1" applyProtection="1">
      <alignment horizontal="center" vertical="center"/>
    </xf>
    <xf numFmtId="0" fontId="23" fillId="0" borderId="21" xfId="0" applyFont="1" applyFill="1" applyBorder="1" applyAlignment="1" applyProtection="1">
      <alignment vertical="center" wrapText="1"/>
    </xf>
    <xf numFmtId="0" fontId="23" fillId="0" borderId="0" xfId="0" applyFont="1" applyFill="1" applyBorder="1" applyAlignment="1" applyProtection="1">
      <alignment vertical="center" wrapText="1"/>
    </xf>
    <xf numFmtId="0" fontId="4" fillId="0" borderId="0" xfId="0" applyFont="1" applyFill="1" applyBorder="1" applyAlignment="1" applyProtection="1">
      <alignment horizontal="right" vertical="center" wrapText="1"/>
    </xf>
    <xf numFmtId="49" fontId="3" fillId="6" borderId="12" xfId="0" applyNumberFormat="1" applyFont="1" applyFill="1" applyBorder="1" applyAlignment="1" applyProtection="1">
      <alignment horizontal="center" vertical="center"/>
    </xf>
    <xf numFmtId="49" fontId="23" fillId="0" borderId="19" xfId="0" applyNumberFormat="1" applyFont="1" applyFill="1" applyBorder="1" applyAlignment="1" applyProtection="1">
      <alignment vertical="center" wrapText="1"/>
    </xf>
    <xf numFmtId="49" fontId="4" fillId="0" borderId="19" xfId="0" applyNumberFormat="1" applyFont="1" applyFill="1" applyBorder="1" applyAlignment="1" applyProtection="1">
      <alignment horizontal="right" vertical="center" wrapText="1"/>
    </xf>
    <xf numFmtId="49" fontId="0" fillId="0" borderId="0" xfId="0" applyNumberFormat="1"/>
    <xf numFmtId="0" fontId="23" fillId="0" borderId="21" xfId="0" quotePrefix="1" applyFont="1" applyFill="1" applyBorder="1" applyAlignment="1" applyProtection="1">
      <alignment vertical="center" wrapText="1"/>
    </xf>
    <xf numFmtId="0" fontId="23" fillId="0" borderId="0" xfId="0" quotePrefix="1" applyFont="1" applyFill="1" applyBorder="1" applyAlignment="1" applyProtection="1">
      <alignment vertical="center" wrapText="1"/>
    </xf>
    <xf numFmtId="49" fontId="3" fillId="6" borderId="20" xfId="0" applyNumberFormat="1" applyFont="1" applyFill="1" applyBorder="1" applyAlignment="1" applyProtection="1">
      <alignment horizontal="center" vertical="center"/>
    </xf>
    <xf numFmtId="49" fontId="23" fillId="0" borderId="21" xfId="0" applyNumberFormat="1" applyFont="1" applyFill="1" applyBorder="1" applyAlignment="1" applyProtection="1">
      <alignment vertical="center" wrapText="1"/>
    </xf>
    <xf numFmtId="49" fontId="4" fillId="0" borderId="21" xfId="0" applyNumberFormat="1" applyFont="1" applyFill="1" applyBorder="1" applyAlignment="1" applyProtection="1">
      <alignment horizontal="right" vertical="center" wrapText="1"/>
    </xf>
    <xf numFmtId="49" fontId="0" fillId="0" borderId="0" xfId="0" quotePrefix="1" applyNumberFormat="1"/>
  </cellXfs>
  <cellStyles count="90">
    <cellStyle name="20 % - Akzent1" xfId="20" builtinId="30" customBuiltin="1"/>
    <cellStyle name="20 % - Akzent1 2" xfId="48"/>
    <cellStyle name="20 % - Akzent1 3" xfId="64"/>
    <cellStyle name="20 % - Akzent1 4" xfId="78"/>
    <cellStyle name="20 % - Akzent2" xfId="24" builtinId="34" customBuiltin="1"/>
    <cellStyle name="20 % - Akzent2 2" xfId="50"/>
    <cellStyle name="20 % - Akzent2 3" xfId="66"/>
    <cellStyle name="20 % - Akzent2 4" xfId="80"/>
    <cellStyle name="20 % - Akzent3" xfId="28" builtinId="38" customBuiltin="1"/>
    <cellStyle name="20 % - Akzent3 2" xfId="52"/>
    <cellStyle name="20 % - Akzent3 3" xfId="68"/>
    <cellStyle name="20 % - Akzent3 4" xfId="82"/>
    <cellStyle name="20 % - Akzent4" xfId="32" builtinId="42" customBuiltin="1"/>
    <cellStyle name="20 % - Akzent4 2" xfId="54"/>
    <cellStyle name="20 % - Akzent4 3" xfId="70"/>
    <cellStyle name="20 % - Akzent4 4" xfId="84"/>
    <cellStyle name="20 % - Akzent5" xfId="36" builtinId="46" customBuiltin="1"/>
    <cellStyle name="20 % - Akzent5 2" xfId="56"/>
    <cellStyle name="20 % - Akzent5 3" xfId="72"/>
    <cellStyle name="20 % - Akzent5 4" xfId="86"/>
    <cellStyle name="20 % - Akzent6" xfId="40" builtinId="50" customBuiltin="1"/>
    <cellStyle name="20 % - Akzent6 2" xfId="58"/>
    <cellStyle name="20 % - Akzent6 3" xfId="74"/>
    <cellStyle name="20 % - Akzent6 4" xfId="88"/>
    <cellStyle name="40 % - Akzent1" xfId="21" builtinId="31" customBuiltin="1"/>
    <cellStyle name="40 % - Akzent1 2" xfId="49"/>
    <cellStyle name="40 % - Akzent1 3" xfId="65"/>
    <cellStyle name="40 % - Akzent1 4" xfId="79"/>
    <cellStyle name="40 % - Akzent2" xfId="25" builtinId="35" customBuiltin="1"/>
    <cellStyle name="40 % - Akzent2 2" xfId="51"/>
    <cellStyle name="40 % - Akzent2 3" xfId="67"/>
    <cellStyle name="40 % - Akzent2 4" xfId="81"/>
    <cellStyle name="40 % - Akzent3" xfId="29" builtinId="39" customBuiltin="1"/>
    <cellStyle name="40 % - Akzent3 2" xfId="53"/>
    <cellStyle name="40 % - Akzent3 3" xfId="69"/>
    <cellStyle name="40 % - Akzent3 4" xfId="83"/>
    <cellStyle name="40 % - Akzent4" xfId="33" builtinId="43" customBuiltin="1"/>
    <cellStyle name="40 % - Akzent4 2" xfId="55"/>
    <cellStyle name="40 % - Akzent4 3" xfId="71"/>
    <cellStyle name="40 % - Akzent4 4" xfId="85"/>
    <cellStyle name="40 % - Akzent5" xfId="37" builtinId="47" customBuiltin="1"/>
    <cellStyle name="40 % - Akzent5 2" xfId="57"/>
    <cellStyle name="40 % - Akzent5 3" xfId="73"/>
    <cellStyle name="40 % - Akzent5 4" xfId="87"/>
    <cellStyle name="40 % - Akzent6" xfId="41" builtinId="51" customBuiltin="1"/>
    <cellStyle name="40 % - Akzent6 2" xfId="59"/>
    <cellStyle name="40 % - Akzent6 3" xfId="75"/>
    <cellStyle name="40 % - Akzent6 4" xfId="89"/>
    <cellStyle name="60 % - Akzent1" xfId="22" builtinId="32" customBuiltin="1"/>
    <cellStyle name="60 % - Akzent2" xfId="26" builtinId="36" customBuiltin="1"/>
    <cellStyle name="60 % - Akzent3" xfId="30" builtinId="40" customBuiltin="1"/>
    <cellStyle name="60 % - Akzent4" xfId="34" builtinId="44" customBuiltin="1"/>
    <cellStyle name="60 % - Akzent5" xfId="38" builtinId="48" customBuiltin="1"/>
    <cellStyle name="60 % - Akzent6" xfId="42" builtinId="52" customBuiltin="1"/>
    <cellStyle name="Akzent1" xfId="19" builtinId="29" customBuiltin="1"/>
    <cellStyle name="Akzent2" xfId="23" builtinId="33" customBuiltin="1"/>
    <cellStyle name="Akzent3" xfId="27" builtinId="37" customBuiltin="1"/>
    <cellStyle name="Akzent4" xfId="31" builtinId="41" customBuiltin="1"/>
    <cellStyle name="Akzent5" xfId="35" builtinId="45" customBuiltin="1"/>
    <cellStyle name="Akzent6" xfId="39" builtinId="49" customBuiltin="1"/>
    <cellStyle name="Ausgabe" xfId="11" builtinId="21" customBuiltin="1"/>
    <cellStyle name="Berechnung" xfId="12" builtinId="22" customBuiltin="1"/>
    <cellStyle name="Eingabe" xfId="10" builtinId="20" customBuiltin="1"/>
    <cellStyle name="Ergebnis" xfId="18" builtinId="25" customBuiltin="1"/>
    <cellStyle name="Erklärender Text" xfId="17" builtinId="53" customBuiltin="1"/>
    <cellStyle name="Gut" xfId="7" builtinId="26" customBuiltin="1"/>
    <cellStyle name="Neutral" xfId="9" builtinId="28" customBuiltin="1"/>
    <cellStyle name="Notiz" xfId="16" builtinId="10" customBuiltin="1"/>
    <cellStyle name="Notiz 2" xfId="45"/>
    <cellStyle name="Notiz 3" xfId="47"/>
    <cellStyle name="Notiz 4" xfId="63"/>
    <cellStyle name="Notiz 5" xfId="77"/>
    <cellStyle name="Schlecht" xfId="8" builtinId="27" customBuiltin="1"/>
    <cellStyle name="Standard" xfId="0" builtinId="0"/>
    <cellStyle name="Standard 2" xfId="1"/>
    <cellStyle name="Standard 2 2" xfId="44"/>
    <cellStyle name="Standard 3" xfId="43"/>
    <cellStyle name="Standard 3 2" xfId="46"/>
    <cellStyle name="Standard 3 3" xfId="61"/>
    <cellStyle name="Standard 4" xfId="60"/>
    <cellStyle name="Standard 4 2" xfId="62"/>
    <cellStyle name="Standard 5" xfId="76"/>
    <cellStyle name="Überschrift" xfId="2" builtinId="15" customBuiltin="1"/>
    <cellStyle name="Überschrift 1" xfId="3" builtinId="16" customBuiltin="1"/>
    <cellStyle name="Überschrift 2" xfId="4" builtinId="17" customBuiltin="1"/>
    <cellStyle name="Überschrift 3" xfId="5" builtinId="18" customBuiltin="1"/>
    <cellStyle name="Überschrift 4" xfId="6" builtinId="19" customBuiltin="1"/>
    <cellStyle name="Verknüpfte Zelle" xfId="13" builtinId="24" customBuiltin="1"/>
    <cellStyle name="Warnender Text" xfId="15" builtinId="11" customBuiltin="1"/>
    <cellStyle name="Zelle überprüfen" xfId="14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G271"/>
  <sheetViews>
    <sheetView topLeftCell="A28" workbookViewId="0">
      <selection activeCell="C40" sqref="C40"/>
    </sheetView>
  </sheetViews>
  <sheetFormatPr baseColWidth="10" defaultRowHeight="12.75" x14ac:dyDescent="0.2"/>
  <cols>
    <col min="2" max="2" width="12" customWidth="1"/>
    <col min="3" max="3" width="24" bestFit="1" customWidth="1"/>
    <col min="4" max="4" width="8.28515625" bestFit="1" customWidth="1"/>
    <col min="5" max="5" width="16.7109375" bestFit="1" customWidth="1"/>
    <col min="6" max="6" width="16.7109375" customWidth="1"/>
    <col min="7" max="7" width="15.28515625" customWidth="1"/>
  </cols>
  <sheetData>
    <row r="1" spans="1:7" ht="15.75" x14ac:dyDescent="0.25">
      <c r="A1" s="65" t="s">
        <v>163</v>
      </c>
      <c r="B1" s="66"/>
      <c r="C1" s="66"/>
      <c r="D1" s="66"/>
      <c r="E1" s="66"/>
      <c r="F1" s="66"/>
      <c r="G1" s="66"/>
    </row>
    <row r="2" spans="1:7" ht="13.5" thickBot="1" x14ac:dyDescent="0.25">
      <c r="A2" s="1"/>
      <c r="B2" s="1"/>
      <c r="C2" s="1"/>
      <c r="D2" s="1"/>
      <c r="E2" s="1"/>
      <c r="F2" s="1"/>
      <c r="G2" s="1"/>
    </row>
    <row r="3" spans="1:7" ht="13.5" thickBot="1" x14ac:dyDescent="0.25">
      <c r="A3" s="2" t="s">
        <v>1</v>
      </c>
      <c r="B3" s="3" t="s">
        <v>2</v>
      </c>
      <c r="C3" s="4" t="s">
        <v>3</v>
      </c>
      <c r="D3" s="5" t="s">
        <v>4</v>
      </c>
      <c r="E3" s="6" t="s">
        <v>5</v>
      </c>
      <c r="F3" s="5" t="s">
        <v>6</v>
      </c>
      <c r="G3" s="7" t="s">
        <v>7</v>
      </c>
    </row>
    <row r="4" spans="1:7" x14ac:dyDescent="0.2">
      <c r="A4" s="31"/>
      <c r="B4" s="35" t="s">
        <v>10</v>
      </c>
      <c r="C4" s="30">
        <v>16</v>
      </c>
      <c r="D4" s="37">
        <v>386.75</v>
      </c>
      <c r="E4" s="40">
        <v>0.45002734481815698</v>
      </c>
      <c r="F4" s="37">
        <v>210.64400000000001</v>
      </c>
      <c r="G4" s="38" t="s">
        <v>9</v>
      </c>
    </row>
    <row r="5" spans="1:7" x14ac:dyDescent="0.2">
      <c r="A5" s="33"/>
      <c r="B5" s="32" t="s">
        <v>170</v>
      </c>
      <c r="C5" s="34">
        <v>16</v>
      </c>
      <c r="D5" s="36">
        <v>287</v>
      </c>
      <c r="E5" s="41">
        <v>0.42275088870659011</v>
      </c>
      <c r="F5" s="36">
        <v>269.87799999999999</v>
      </c>
      <c r="G5" s="39" t="s">
        <v>9</v>
      </c>
    </row>
    <row r="6" spans="1:7" x14ac:dyDescent="0.2">
      <c r="A6" s="33"/>
      <c r="B6" s="32" t="s">
        <v>55</v>
      </c>
      <c r="C6" s="34">
        <v>2</v>
      </c>
      <c r="D6" s="36">
        <v>68</v>
      </c>
      <c r="E6" s="41">
        <v>0.36286573694284935</v>
      </c>
      <c r="F6" s="36">
        <v>23.669</v>
      </c>
      <c r="G6" s="39" t="s">
        <v>9</v>
      </c>
    </row>
    <row r="7" spans="1:7" x14ac:dyDescent="0.2">
      <c r="A7" s="33"/>
      <c r="B7" s="32" t="s">
        <v>24</v>
      </c>
      <c r="C7" s="34">
        <v>16</v>
      </c>
      <c r="D7" s="36">
        <v>1043</v>
      </c>
      <c r="E7" s="41">
        <v>0.62947771397320207</v>
      </c>
      <c r="F7" s="36">
        <v>149.71600000000001</v>
      </c>
      <c r="G7" s="39" t="s">
        <v>9</v>
      </c>
    </row>
    <row r="8" spans="1:7" x14ac:dyDescent="0.2">
      <c r="A8" s="33"/>
      <c r="B8" s="32" t="s">
        <v>11</v>
      </c>
      <c r="C8" s="34">
        <v>16</v>
      </c>
      <c r="D8" s="36">
        <v>562</v>
      </c>
      <c r="E8" s="41">
        <v>0.49794913863822804</v>
      </c>
      <c r="F8" s="36">
        <v>342.089</v>
      </c>
      <c r="G8" s="39" t="s">
        <v>9</v>
      </c>
    </row>
    <row r="9" spans="1:7" x14ac:dyDescent="0.2">
      <c r="A9" s="33"/>
      <c r="B9" s="32" t="s">
        <v>171</v>
      </c>
      <c r="C9" s="34">
        <v>16</v>
      </c>
      <c r="D9" s="36">
        <v>700</v>
      </c>
      <c r="E9" s="41">
        <v>0.53568498769483186</v>
      </c>
      <c r="F9" s="36">
        <v>86.777000000000001</v>
      </c>
      <c r="G9" s="39" t="s">
        <v>9</v>
      </c>
    </row>
    <row r="10" spans="1:7" x14ac:dyDescent="0.2">
      <c r="A10" s="33"/>
      <c r="B10" s="32" t="s">
        <v>63</v>
      </c>
      <c r="C10" s="34">
        <v>16</v>
      </c>
      <c r="D10" s="36">
        <v>-722</v>
      </c>
      <c r="E10" s="41">
        <v>0.1468416735028712</v>
      </c>
      <c r="F10" s="36">
        <v>246.44299999999998</v>
      </c>
      <c r="G10" s="39" t="s">
        <v>9</v>
      </c>
    </row>
    <row r="11" spans="1:7" x14ac:dyDescent="0.2">
      <c r="A11" s="33"/>
      <c r="B11" s="32" t="s">
        <v>60</v>
      </c>
      <c r="C11" s="34">
        <v>16</v>
      </c>
      <c r="D11" s="36">
        <v>396</v>
      </c>
      <c r="E11" s="41">
        <v>0.45255674049767569</v>
      </c>
      <c r="F11" s="36">
        <v>157.30099999999999</v>
      </c>
      <c r="G11" s="39" t="s">
        <v>9</v>
      </c>
    </row>
    <row r="12" spans="1:7" x14ac:dyDescent="0.2">
      <c r="A12" s="33"/>
      <c r="B12" s="32" t="s">
        <v>53</v>
      </c>
      <c r="C12" s="34">
        <v>1</v>
      </c>
      <c r="D12" s="36">
        <v>52</v>
      </c>
      <c r="E12" s="41">
        <v>0.35849056603773582</v>
      </c>
      <c r="F12" s="36">
        <v>17.378</v>
      </c>
      <c r="G12" s="39" t="s">
        <v>9</v>
      </c>
    </row>
    <row r="13" spans="1:7" x14ac:dyDescent="0.2">
      <c r="A13" s="33"/>
      <c r="B13" s="32" t="s">
        <v>16</v>
      </c>
      <c r="C13" s="34">
        <v>16</v>
      </c>
      <c r="D13" s="36">
        <v>810</v>
      </c>
      <c r="E13" s="41">
        <v>0.56576428766748699</v>
      </c>
      <c r="F13" s="36">
        <v>170.49099999999999</v>
      </c>
      <c r="G13" s="39" t="s">
        <v>9</v>
      </c>
    </row>
    <row r="14" spans="1:7" x14ac:dyDescent="0.2">
      <c r="A14" s="33"/>
      <c r="B14" s="32" t="s">
        <v>13</v>
      </c>
      <c r="C14" s="34">
        <v>16</v>
      </c>
      <c r="D14" s="36">
        <v>903</v>
      </c>
      <c r="E14" s="41">
        <v>0.5911949685534591</v>
      </c>
      <c r="F14" s="36">
        <v>215.32300000000001</v>
      </c>
      <c r="G14" s="39" t="s">
        <v>9</v>
      </c>
    </row>
    <row r="15" spans="1:7" x14ac:dyDescent="0.2">
      <c r="A15" s="33"/>
      <c r="B15" s="32" t="s">
        <v>61</v>
      </c>
      <c r="C15" s="34">
        <v>16</v>
      </c>
      <c r="D15" s="36">
        <v>-512</v>
      </c>
      <c r="E15" s="41">
        <v>0.20426579163248565</v>
      </c>
      <c r="F15" s="36">
        <v>170.066</v>
      </c>
      <c r="G15" s="39" t="s">
        <v>9</v>
      </c>
    </row>
    <row r="16" spans="1:7" x14ac:dyDescent="0.2">
      <c r="A16" s="33"/>
      <c r="B16" s="32" t="s">
        <v>30</v>
      </c>
      <c r="C16" s="34">
        <v>4</v>
      </c>
      <c r="D16" s="36">
        <v>342</v>
      </c>
      <c r="E16" s="41">
        <v>0.43779053869291767</v>
      </c>
      <c r="F16" s="36">
        <v>20.673999999999999</v>
      </c>
      <c r="G16" s="39" t="s">
        <v>9</v>
      </c>
    </row>
    <row r="17" spans="1:7" x14ac:dyDescent="0.2">
      <c r="A17" s="33"/>
      <c r="B17" s="32" t="s">
        <v>49</v>
      </c>
      <c r="C17" s="34">
        <v>4</v>
      </c>
      <c r="D17" s="36">
        <v>84</v>
      </c>
      <c r="E17" s="41">
        <v>0.36724090784796282</v>
      </c>
      <c r="F17" s="36">
        <v>39.614999999999995</v>
      </c>
      <c r="G17" s="39" t="s">
        <v>9</v>
      </c>
    </row>
    <row r="18" spans="1:7" x14ac:dyDescent="0.2">
      <c r="A18" s="33"/>
      <c r="B18" s="32" t="s">
        <v>172</v>
      </c>
      <c r="C18" s="34">
        <v>5</v>
      </c>
      <c r="D18" s="36">
        <v>246</v>
      </c>
      <c r="E18" s="41">
        <v>0.41153951326223681</v>
      </c>
      <c r="F18" s="36">
        <v>68.137999999999991</v>
      </c>
      <c r="G18" s="39" t="s">
        <v>9</v>
      </c>
    </row>
    <row r="19" spans="1:7" x14ac:dyDescent="0.2">
      <c r="A19" s="33"/>
      <c r="B19" s="32" t="s">
        <v>62</v>
      </c>
      <c r="C19" s="34">
        <v>16</v>
      </c>
      <c r="D19" s="36">
        <v>-514</v>
      </c>
      <c r="E19" s="41">
        <v>0.20371889526934644</v>
      </c>
      <c r="F19" s="36">
        <v>169.958</v>
      </c>
      <c r="G19" s="39" t="s">
        <v>9</v>
      </c>
    </row>
    <row r="20" spans="1:7" x14ac:dyDescent="0.2">
      <c r="A20" s="33"/>
      <c r="B20" s="32" t="s">
        <v>51</v>
      </c>
      <c r="C20" s="34">
        <v>4</v>
      </c>
      <c r="D20" s="36">
        <v>75</v>
      </c>
      <c r="E20" s="41">
        <v>0.36477987421383645</v>
      </c>
      <c r="F20" s="36">
        <v>37.607999999999997</v>
      </c>
      <c r="G20" s="39" t="s">
        <v>9</v>
      </c>
    </row>
    <row r="21" spans="1:7" x14ac:dyDescent="0.2">
      <c r="A21" s="33"/>
      <c r="B21" s="32" t="s">
        <v>8</v>
      </c>
      <c r="C21" s="34">
        <v>16</v>
      </c>
      <c r="D21" s="36">
        <v>1272</v>
      </c>
      <c r="E21" s="41">
        <v>0.69209734755263874</v>
      </c>
      <c r="F21" s="36">
        <v>152.37700000000001</v>
      </c>
      <c r="G21" s="39" t="s">
        <v>9</v>
      </c>
    </row>
    <row r="22" spans="1:7" x14ac:dyDescent="0.2">
      <c r="A22" s="33"/>
      <c r="B22" s="32" t="s">
        <v>52</v>
      </c>
      <c r="C22" s="34">
        <v>3</v>
      </c>
      <c r="D22" s="36">
        <v>75</v>
      </c>
      <c r="E22" s="41">
        <v>0.36477987421383645</v>
      </c>
      <c r="F22" s="36">
        <v>38.795999999999999</v>
      </c>
      <c r="G22" s="39" t="s">
        <v>9</v>
      </c>
    </row>
    <row r="23" spans="1:7" x14ac:dyDescent="0.2">
      <c r="A23" s="33"/>
      <c r="B23" s="32" t="s">
        <v>40</v>
      </c>
      <c r="C23" s="34">
        <v>16</v>
      </c>
      <c r="D23" s="36">
        <v>172</v>
      </c>
      <c r="E23" s="41">
        <v>0.39130434782608697</v>
      </c>
      <c r="F23" s="36">
        <v>130.77000000000001</v>
      </c>
      <c r="G23" s="39" t="s">
        <v>9</v>
      </c>
    </row>
    <row r="24" spans="1:7" x14ac:dyDescent="0.2">
      <c r="A24" s="33"/>
      <c r="B24" s="32" t="s">
        <v>44</v>
      </c>
      <c r="C24" s="34">
        <v>3</v>
      </c>
      <c r="D24" s="36">
        <v>147</v>
      </c>
      <c r="E24" s="41">
        <v>0.38446814328684714</v>
      </c>
      <c r="F24" s="36">
        <v>33.363999999999997</v>
      </c>
      <c r="G24" s="39" t="s">
        <v>9</v>
      </c>
    </row>
    <row r="25" spans="1:7" x14ac:dyDescent="0.2">
      <c r="A25" s="33"/>
      <c r="B25" s="32" t="s">
        <v>20</v>
      </c>
      <c r="C25" s="34">
        <v>9</v>
      </c>
      <c r="D25" s="36">
        <v>355</v>
      </c>
      <c r="E25" s="41">
        <v>0.44134536505332239</v>
      </c>
      <c r="F25" s="36">
        <v>78.444000000000017</v>
      </c>
      <c r="G25" s="39" t="s">
        <v>9</v>
      </c>
    </row>
    <row r="26" spans="1:7" x14ac:dyDescent="0.2">
      <c r="A26" s="33"/>
      <c r="B26" s="32" t="s">
        <v>54</v>
      </c>
      <c r="C26" s="34">
        <v>1</v>
      </c>
      <c r="D26" s="36">
        <v>46</v>
      </c>
      <c r="E26" s="41">
        <v>0.35684987694831827</v>
      </c>
      <c r="F26" s="36">
        <v>19.344999999999999</v>
      </c>
      <c r="G26" s="39" t="s">
        <v>9</v>
      </c>
    </row>
    <row r="27" spans="1:7" x14ac:dyDescent="0.2">
      <c r="A27" s="33"/>
      <c r="B27" s="32" t="s">
        <v>25</v>
      </c>
      <c r="C27" s="34">
        <v>16</v>
      </c>
      <c r="D27" s="36">
        <v>315.5</v>
      </c>
      <c r="E27" s="41">
        <v>0.43054416188132349</v>
      </c>
      <c r="F27" s="36">
        <v>168.14899999999997</v>
      </c>
      <c r="G27" s="39" t="s">
        <v>9</v>
      </c>
    </row>
    <row r="28" spans="1:7" x14ac:dyDescent="0.2">
      <c r="A28" s="33"/>
      <c r="B28" s="32" t="s">
        <v>31</v>
      </c>
      <c r="C28" s="34">
        <v>5</v>
      </c>
      <c r="D28" s="36">
        <v>406</v>
      </c>
      <c r="E28" s="41">
        <v>0.4552912223133716</v>
      </c>
      <c r="F28" s="36">
        <v>44.74</v>
      </c>
      <c r="G28" s="39" t="s">
        <v>9</v>
      </c>
    </row>
    <row r="29" spans="1:7" x14ac:dyDescent="0.2">
      <c r="A29" s="33"/>
      <c r="B29" s="32" t="s">
        <v>33</v>
      </c>
      <c r="C29" s="34">
        <v>16</v>
      </c>
      <c r="D29" s="36">
        <v>310</v>
      </c>
      <c r="E29" s="41">
        <v>0.42904019688269074</v>
      </c>
      <c r="F29" s="36">
        <v>207.71700000000004</v>
      </c>
      <c r="G29" s="39" t="s">
        <v>9</v>
      </c>
    </row>
    <row r="30" spans="1:7" x14ac:dyDescent="0.2">
      <c r="A30" s="33"/>
      <c r="B30" s="32" t="s">
        <v>37</v>
      </c>
      <c r="C30" s="34">
        <v>4</v>
      </c>
      <c r="D30" s="36">
        <v>253</v>
      </c>
      <c r="E30" s="41">
        <v>0.41345365053322397</v>
      </c>
      <c r="F30" s="36">
        <v>32.706000000000003</v>
      </c>
      <c r="G30" s="39" t="s">
        <v>9</v>
      </c>
    </row>
    <row r="31" spans="1:7" x14ac:dyDescent="0.2">
      <c r="A31" s="33"/>
      <c r="B31" s="32" t="s">
        <v>46</v>
      </c>
      <c r="C31" s="34">
        <v>1</v>
      </c>
      <c r="D31" s="36">
        <v>52</v>
      </c>
      <c r="E31" s="41">
        <v>0.35849056603773582</v>
      </c>
      <c r="F31" s="36">
        <v>12.191000000000001</v>
      </c>
      <c r="G31" s="39" t="s">
        <v>9</v>
      </c>
    </row>
    <row r="32" spans="1:7" x14ac:dyDescent="0.2">
      <c r="A32" s="33"/>
      <c r="B32" s="32" t="s">
        <v>35</v>
      </c>
      <c r="C32" s="34">
        <v>4</v>
      </c>
      <c r="D32" s="36">
        <v>229</v>
      </c>
      <c r="E32" s="41">
        <v>0.40689089417555374</v>
      </c>
      <c r="F32" s="36">
        <v>21.243000000000002</v>
      </c>
      <c r="G32" s="39" t="s">
        <v>9</v>
      </c>
    </row>
    <row r="33" spans="1:7" x14ac:dyDescent="0.2">
      <c r="A33" s="33"/>
      <c r="B33" s="32" t="s">
        <v>12</v>
      </c>
      <c r="C33" s="34">
        <v>16</v>
      </c>
      <c r="D33" s="36">
        <v>976.5</v>
      </c>
      <c r="E33" s="41">
        <v>0.61129340989882419</v>
      </c>
      <c r="F33" s="36">
        <v>130.517</v>
      </c>
      <c r="G33" s="39" t="s">
        <v>9</v>
      </c>
    </row>
    <row r="34" spans="1:7" x14ac:dyDescent="0.2">
      <c r="A34" s="33"/>
      <c r="B34" s="32" t="s">
        <v>47</v>
      </c>
      <c r="C34" s="34">
        <v>2</v>
      </c>
      <c r="D34" s="36">
        <v>93</v>
      </c>
      <c r="E34" s="41">
        <v>0.36970194148208912</v>
      </c>
      <c r="F34" s="36">
        <v>32.94</v>
      </c>
      <c r="G34" s="39" t="s">
        <v>9</v>
      </c>
    </row>
    <row r="35" spans="1:7" x14ac:dyDescent="0.2">
      <c r="A35" s="33"/>
      <c r="B35" s="32" t="s">
        <v>59</v>
      </c>
      <c r="C35" s="34">
        <v>16</v>
      </c>
      <c r="D35" s="36">
        <v>-86</v>
      </c>
      <c r="E35" s="41">
        <v>0.32075471698113206</v>
      </c>
      <c r="F35" s="36">
        <v>140.529</v>
      </c>
      <c r="G35" s="39" t="s">
        <v>9</v>
      </c>
    </row>
    <row r="36" spans="1:7" x14ac:dyDescent="0.2">
      <c r="A36" s="33"/>
      <c r="B36" s="32" t="s">
        <v>173</v>
      </c>
      <c r="C36" s="34">
        <v>16</v>
      </c>
      <c r="D36" s="36">
        <v>633</v>
      </c>
      <c r="E36" s="41">
        <v>0.51736395952966918</v>
      </c>
      <c r="F36" s="36">
        <v>221.28100000000001</v>
      </c>
      <c r="G36" s="39" t="s">
        <v>9</v>
      </c>
    </row>
    <row r="37" spans="1:7" x14ac:dyDescent="0.2">
      <c r="A37" s="33"/>
      <c r="B37" s="32" t="s">
        <v>38</v>
      </c>
      <c r="C37" s="34">
        <v>16</v>
      </c>
      <c r="D37" s="36">
        <v>207</v>
      </c>
      <c r="E37" s="41">
        <v>0.40087503418102272</v>
      </c>
      <c r="F37" s="36">
        <v>216.14699999999999</v>
      </c>
      <c r="G37" s="39" t="s">
        <v>9</v>
      </c>
    </row>
    <row r="38" spans="1:7" x14ac:dyDescent="0.2">
      <c r="A38" s="33"/>
      <c r="B38" s="32" t="s">
        <v>18</v>
      </c>
      <c r="C38" s="34">
        <v>16</v>
      </c>
      <c r="D38" s="36">
        <v>720</v>
      </c>
      <c r="E38" s="41">
        <v>0.54115395132622368</v>
      </c>
      <c r="F38" s="36">
        <v>153.89100000000002</v>
      </c>
      <c r="G38" s="39" t="s">
        <v>9</v>
      </c>
    </row>
    <row r="39" spans="1:7" x14ac:dyDescent="0.2">
      <c r="A39" s="33"/>
      <c r="B39" s="32" t="s">
        <v>174</v>
      </c>
      <c r="C39" s="34">
        <v>2</v>
      </c>
      <c r="D39" s="36">
        <v>72</v>
      </c>
      <c r="E39" s="41">
        <v>0.3639595296691277</v>
      </c>
      <c r="F39" s="36">
        <v>25.946999999999999</v>
      </c>
      <c r="G39" s="39" t="s">
        <v>9</v>
      </c>
    </row>
    <row r="40" spans="1:7" x14ac:dyDescent="0.2">
      <c r="A40" s="33"/>
      <c r="B40" s="32" t="s">
        <v>42</v>
      </c>
      <c r="C40" s="34">
        <v>3</v>
      </c>
      <c r="D40" s="36">
        <v>165</v>
      </c>
      <c r="E40" s="41">
        <v>0.38939021055509981</v>
      </c>
      <c r="F40" s="36">
        <v>21.423999999999999</v>
      </c>
      <c r="G40" s="39" t="s">
        <v>9</v>
      </c>
    </row>
    <row r="41" spans="1:7" x14ac:dyDescent="0.2">
      <c r="A41" s="33"/>
      <c r="B41" s="32" t="s">
        <v>175</v>
      </c>
      <c r="C41" s="34">
        <v>16</v>
      </c>
      <c r="D41" s="36">
        <v>977</v>
      </c>
      <c r="E41" s="41">
        <v>0.61143013398960899</v>
      </c>
      <c r="F41" s="36">
        <v>160.95199999999997</v>
      </c>
      <c r="G41" s="39" t="s">
        <v>9</v>
      </c>
    </row>
    <row r="42" spans="1:7" x14ac:dyDescent="0.2">
      <c r="A42" s="33"/>
      <c r="B42" s="32" t="s">
        <v>29</v>
      </c>
      <c r="C42" s="34">
        <v>16</v>
      </c>
      <c r="D42" s="36">
        <v>-41</v>
      </c>
      <c r="E42" s="41">
        <v>0.33305988515176377</v>
      </c>
      <c r="F42" s="36">
        <v>91.013999999999996</v>
      </c>
      <c r="G42" s="39" t="s">
        <v>9</v>
      </c>
    </row>
    <row r="43" spans="1:7" x14ac:dyDescent="0.2">
      <c r="A43" s="33"/>
      <c r="B43" s="32" t="s">
        <v>19</v>
      </c>
      <c r="C43" s="34">
        <v>16</v>
      </c>
      <c r="D43" s="36">
        <v>679</v>
      </c>
      <c r="E43" s="41">
        <v>0.52994257588187044</v>
      </c>
      <c r="F43" s="36">
        <v>259.70500000000004</v>
      </c>
      <c r="G43" s="39" t="s">
        <v>9</v>
      </c>
    </row>
    <row r="44" spans="1:7" x14ac:dyDescent="0.2">
      <c r="A44" s="33"/>
      <c r="B44" s="32" t="s">
        <v>48</v>
      </c>
      <c r="C44" s="34">
        <v>1</v>
      </c>
      <c r="D44" s="36">
        <v>84</v>
      </c>
      <c r="E44" s="41">
        <v>0.36724090784796282</v>
      </c>
      <c r="F44" s="36">
        <v>15.502000000000001</v>
      </c>
      <c r="G44" s="39" t="s">
        <v>9</v>
      </c>
    </row>
    <row r="45" spans="1:7" x14ac:dyDescent="0.2">
      <c r="A45" s="33"/>
      <c r="B45" s="32" t="s">
        <v>17</v>
      </c>
      <c r="C45" s="34">
        <v>8</v>
      </c>
      <c r="D45" s="36">
        <v>459</v>
      </c>
      <c r="E45" s="41">
        <v>0.46978397593656002</v>
      </c>
      <c r="F45" s="36">
        <v>56.050000000000004</v>
      </c>
      <c r="G45" s="39" t="s">
        <v>9</v>
      </c>
    </row>
    <row r="46" spans="1:7" x14ac:dyDescent="0.2">
      <c r="A46" s="33"/>
      <c r="B46" s="32" t="s">
        <v>58</v>
      </c>
      <c r="C46" s="34">
        <v>16</v>
      </c>
      <c r="D46" s="36">
        <v>-311</v>
      </c>
      <c r="E46" s="41">
        <v>0.25922887612797374</v>
      </c>
      <c r="F46" s="36">
        <v>130.965</v>
      </c>
      <c r="G46" s="39" t="s">
        <v>9</v>
      </c>
    </row>
    <row r="47" spans="1:7" x14ac:dyDescent="0.2">
      <c r="A47" s="33"/>
      <c r="B47" s="32" t="s">
        <v>14</v>
      </c>
      <c r="C47" s="34">
        <v>16</v>
      </c>
      <c r="D47" s="36">
        <v>834</v>
      </c>
      <c r="E47" s="41">
        <v>0.57232704402515722</v>
      </c>
      <c r="F47" s="36">
        <v>224.761</v>
      </c>
      <c r="G47" s="39" t="s">
        <v>9</v>
      </c>
    </row>
    <row r="48" spans="1:7" x14ac:dyDescent="0.2">
      <c r="A48" s="33"/>
      <c r="B48" s="32" t="s">
        <v>56</v>
      </c>
      <c r="C48" s="34">
        <v>16</v>
      </c>
      <c r="D48" s="36">
        <v>813</v>
      </c>
      <c r="E48" s="41">
        <v>0.56658463221219579</v>
      </c>
      <c r="F48" s="36">
        <v>73.529000000000011</v>
      </c>
      <c r="G48" s="39" t="s">
        <v>9</v>
      </c>
    </row>
    <row r="49" spans="1:7" x14ac:dyDescent="0.2">
      <c r="A49" s="33"/>
      <c r="B49" s="32" t="s">
        <v>21</v>
      </c>
      <c r="C49" s="34">
        <v>16</v>
      </c>
      <c r="D49" s="36">
        <v>-195</v>
      </c>
      <c r="E49" s="41">
        <v>0.29094886519004648</v>
      </c>
      <c r="F49" s="36">
        <v>173.84000000000003</v>
      </c>
      <c r="G49" s="39" t="s">
        <v>9</v>
      </c>
    </row>
    <row r="50" spans="1:7" x14ac:dyDescent="0.2">
      <c r="A50" s="33"/>
      <c r="B50" s="32" t="s">
        <v>41</v>
      </c>
      <c r="C50" s="34">
        <v>3</v>
      </c>
      <c r="D50" s="36">
        <v>162</v>
      </c>
      <c r="E50" s="41">
        <v>0.38856986601039101</v>
      </c>
      <c r="F50" s="36">
        <v>21.02</v>
      </c>
      <c r="G50" s="39" t="s">
        <v>9</v>
      </c>
    </row>
    <row r="51" spans="1:7" x14ac:dyDescent="0.2">
      <c r="A51" s="33"/>
      <c r="B51" s="32" t="s">
        <v>15</v>
      </c>
      <c r="C51" s="34">
        <v>16</v>
      </c>
      <c r="D51" s="36">
        <v>490</v>
      </c>
      <c r="E51" s="41">
        <v>0.47826086956521741</v>
      </c>
      <c r="F51" s="36">
        <v>167.262</v>
      </c>
      <c r="G51" s="39" t="s">
        <v>9</v>
      </c>
    </row>
    <row r="52" spans="1:7" x14ac:dyDescent="0.2">
      <c r="A52" s="33"/>
      <c r="B52" s="32" t="s">
        <v>32</v>
      </c>
      <c r="C52" s="34">
        <v>16</v>
      </c>
      <c r="D52" s="36">
        <v>439</v>
      </c>
      <c r="E52" s="41">
        <v>0.4643150123051682</v>
      </c>
      <c r="F52" s="36">
        <v>154.429</v>
      </c>
      <c r="G52" s="39" t="s">
        <v>9</v>
      </c>
    </row>
    <row r="53" spans="1:7" x14ac:dyDescent="0.2">
      <c r="A53" s="33"/>
      <c r="B53" s="32" t="s">
        <v>26</v>
      </c>
      <c r="C53" s="34">
        <v>16</v>
      </c>
      <c r="D53" s="36">
        <v>254.75</v>
      </c>
      <c r="E53" s="41">
        <v>0.41393218485097072</v>
      </c>
      <c r="F53" s="36">
        <v>117.35899999999999</v>
      </c>
      <c r="G53" s="39" t="s">
        <v>9</v>
      </c>
    </row>
    <row r="54" spans="1:7" x14ac:dyDescent="0.2">
      <c r="A54" s="33"/>
      <c r="B54" s="32" t="s">
        <v>57</v>
      </c>
      <c r="C54" s="34">
        <v>16</v>
      </c>
      <c r="D54" s="36">
        <v>-71</v>
      </c>
      <c r="E54" s="41">
        <v>0.32485643970467598</v>
      </c>
      <c r="F54" s="36">
        <v>125.34399999999999</v>
      </c>
      <c r="G54" s="39" t="s">
        <v>9</v>
      </c>
    </row>
    <row r="55" spans="1:7" x14ac:dyDescent="0.2">
      <c r="A55" s="33"/>
      <c r="B55" s="32" t="s">
        <v>36</v>
      </c>
      <c r="C55" s="34">
        <v>5</v>
      </c>
      <c r="D55" s="36">
        <v>262</v>
      </c>
      <c r="E55" s="41">
        <v>0.41591468416735028</v>
      </c>
      <c r="F55" s="36">
        <v>46.777000000000001</v>
      </c>
      <c r="G55" s="39" t="s">
        <v>9</v>
      </c>
    </row>
    <row r="56" spans="1:7" x14ac:dyDescent="0.2">
      <c r="A56" s="33"/>
      <c r="B56" s="32" t="s">
        <v>39</v>
      </c>
      <c r="C56" s="34">
        <v>2</v>
      </c>
      <c r="D56" s="36">
        <v>173</v>
      </c>
      <c r="E56" s="41">
        <v>0.39157779600765658</v>
      </c>
      <c r="F56" s="36">
        <v>22.466000000000001</v>
      </c>
      <c r="G56" s="39" t="s">
        <v>9</v>
      </c>
    </row>
    <row r="57" spans="1:7" x14ac:dyDescent="0.2">
      <c r="A57" s="33"/>
      <c r="B57" s="32" t="s">
        <v>43</v>
      </c>
      <c r="C57" s="34">
        <v>2</v>
      </c>
      <c r="D57" s="36">
        <v>114</v>
      </c>
      <c r="E57" s="41">
        <v>0.3754443532950506</v>
      </c>
      <c r="F57" s="36">
        <v>27.643999999999998</v>
      </c>
      <c r="G57" s="39" t="s">
        <v>9</v>
      </c>
    </row>
    <row r="58" spans="1:7" x14ac:dyDescent="0.2">
      <c r="A58" s="33"/>
      <c r="B58" s="32" t="s">
        <v>34</v>
      </c>
      <c r="C58" s="34">
        <v>4</v>
      </c>
      <c r="D58" s="36">
        <v>230</v>
      </c>
      <c r="E58" s="41">
        <v>0.40716434235712334</v>
      </c>
      <c r="F58" s="36">
        <v>33.75</v>
      </c>
      <c r="G58" s="39" t="s">
        <v>9</v>
      </c>
    </row>
    <row r="59" spans="1:7" x14ac:dyDescent="0.2">
      <c r="A59" s="33"/>
      <c r="B59" s="32" t="s">
        <v>23</v>
      </c>
      <c r="C59" s="34">
        <v>16</v>
      </c>
      <c r="D59" s="36">
        <v>-427</v>
      </c>
      <c r="E59" s="41">
        <v>0.227508887065901</v>
      </c>
      <c r="F59" s="36">
        <v>180.12</v>
      </c>
      <c r="G59" s="39" t="s">
        <v>9</v>
      </c>
    </row>
    <row r="60" spans="1:7" x14ac:dyDescent="0.2">
      <c r="A60" s="33"/>
      <c r="B60" s="32" t="s">
        <v>50</v>
      </c>
      <c r="C60" s="34">
        <v>2</v>
      </c>
      <c r="D60" s="36">
        <v>161</v>
      </c>
      <c r="E60" s="41">
        <v>0.38829641782882146</v>
      </c>
      <c r="F60" s="36">
        <v>24.091999999999999</v>
      </c>
      <c r="G60" s="39" t="s">
        <v>9</v>
      </c>
    </row>
    <row r="61" spans="1:7" x14ac:dyDescent="0.2">
      <c r="A61" s="33"/>
      <c r="B61" s="32" t="s">
        <v>27</v>
      </c>
      <c r="C61" s="34">
        <v>16</v>
      </c>
      <c r="D61" s="36">
        <v>287</v>
      </c>
      <c r="E61" s="41">
        <v>0.42275088870659011</v>
      </c>
      <c r="F61" s="36">
        <v>224.46799999999999</v>
      </c>
      <c r="G61" s="39" t="s">
        <v>9</v>
      </c>
    </row>
    <row r="62" spans="1:7" x14ac:dyDescent="0.2">
      <c r="A62" s="33"/>
      <c r="B62" s="32" t="s">
        <v>28</v>
      </c>
      <c r="C62" s="34">
        <v>16</v>
      </c>
      <c r="D62" s="36">
        <v>325.75</v>
      </c>
      <c r="E62" s="41">
        <v>0.43334700574241181</v>
      </c>
      <c r="F62" s="36">
        <v>276.553</v>
      </c>
      <c r="G62" s="39" t="s">
        <v>9</v>
      </c>
    </row>
    <row r="63" spans="1:7" x14ac:dyDescent="0.2">
      <c r="A63" s="33"/>
      <c r="B63" s="32" t="s">
        <v>176</v>
      </c>
      <c r="C63" s="34">
        <v>1</v>
      </c>
      <c r="D63" s="36">
        <v>72</v>
      </c>
      <c r="E63" s="41">
        <v>0.3639595296691277</v>
      </c>
      <c r="F63" s="36">
        <v>11.938000000000001</v>
      </c>
      <c r="G63" s="39" t="s">
        <v>9</v>
      </c>
    </row>
    <row r="64" spans="1:7" x14ac:dyDescent="0.2">
      <c r="A64" s="33"/>
      <c r="B64" s="32" t="s">
        <v>45</v>
      </c>
      <c r="C64" s="34">
        <v>15</v>
      </c>
      <c r="D64" s="36">
        <v>129</v>
      </c>
      <c r="E64" s="41">
        <v>0.37954607601859447</v>
      </c>
      <c r="F64" s="36">
        <v>139.75</v>
      </c>
      <c r="G64" s="39" t="s">
        <v>9</v>
      </c>
    </row>
    <row r="65" spans="1:7" x14ac:dyDescent="0.2">
      <c r="A65" s="33"/>
      <c r="B65" s="32" t="s">
        <v>22</v>
      </c>
      <c r="C65" s="34">
        <v>6</v>
      </c>
      <c r="D65" s="36">
        <v>470</v>
      </c>
      <c r="E65" s="41">
        <v>0.47279190593382553</v>
      </c>
      <c r="F65" s="36">
        <v>60.288000000000004</v>
      </c>
      <c r="G65" s="39" t="s">
        <v>9</v>
      </c>
    </row>
    <row r="66" spans="1:7" x14ac:dyDescent="0.2">
      <c r="A66" s="9"/>
      <c r="B66" s="10"/>
      <c r="C66" s="11"/>
      <c r="D66" s="12"/>
      <c r="E66" s="13"/>
      <c r="F66" s="12"/>
      <c r="G66" s="14"/>
    </row>
    <row r="67" spans="1:7" x14ac:dyDescent="0.2">
      <c r="A67" s="9"/>
      <c r="B67" s="10"/>
      <c r="C67" s="11"/>
      <c r="D67" s="12"/>
      <c r="E67" s="13"/>
      <c r="F67" s="12"/>
      <c r="G67" s="14"/>
    </row>
    <row r="68" spans="1:7" x14ac:dyDescent="0.2">
      <c r="A68" s="9"/>
      <c r="B68" s="10"/>
      <c r="C68" s="11"/>
      <c r="D68" s="12"/>
      <c r="E68" s="13"/>
      <c r="F68" s="12"/>
      <c r="G68" s="14"/>
    </row>
    <row r="69" spans="1:7" x14ac:dyDescent="0.2">
      <c r="A69" s="9"/>
      <c r="B69" s="10"/>
      <c r="C69" s="11"/>
      <c r="D69" s="12"/>
      <c r="E69" s="13"/>
      <c r="F69" s="12"/>
      <c r="G69" s="14"/>
    </row>
    <row r="70" spans="1:7" x14ac:dyDescent="0.2">
      <c r="A70" s="9"/>
      <c r="B70" s="10"/>
      <c r="C70" s="11"/>
      <c r="D70" s="12"/>
      <c r="E70" s="13"/>
      <c r="F70" s="12"/>
      <c r="G70" s="14"/>
    </row>
    <row r="71" spans="1:7" x14ac:dyDescent="0.2">
      <c r="A71" s="9"/>
      <c r="B71" s="10"/>
      <c r="C71" s="11"/>
      <c r="D71" s="12"/>
      <c r="E71" s="13"/>
      <c r="F71" s="12"/>
      <c r="G71" s="14"/>
    </row>
    <row r="72" spans="1:7" x14ac:dyDescent="0.2">
      <c r="A72" s="9"/>
      <c r="B72" s="10"/>
      <c r="C72" s="11"/>
      <c r="D72" s="12"/>
      <c r="E72" s="13"/>
      <c r="F72" s="12"/>
      <c r="G72" s="14"/>
    </row>
    <row r="73" spans="1:7" x14ac:dyDescent="0.2">
      <c r="A73" s="9"/>
      <c r="B73" s="10"/>
      <c r="C73" s="11"/>
      <c r="D73" s="12"/>
      <c r="E73" s="13"/>
      <c r="F73" s="12"/>
      <c r="G73" s="14"/>
    </row>
    <row r="74" spans="1:7" x14ac:dyDescent="0.2">
      <c r="A74" s="9"/>
      <c r="B74" s="10"/>
      <c r="C74" s="11"/>
      <c r="D74" s="12"/>
      <c r="E74" s="13"/>
      <c r="F74" s="12"/>
      <c r="G74" s="14"/>
    </row>
    <row r="75" spans="1:7" x14ac:dyDescent="0.2">
      <c r="A75" s="9"/>
      <c r="B75" s="10"/>
      <c r="C75" s="11"/>
      <c r="D75" s="12"/>
      <c r="E75" s="13"/>
      <c r="F75" s="12"/>
      <c r="G75" s="14"/>
    </row>
    <row r="76" spans="1:7" x14ac:dyDescent="0.2">
      <c r="A76" s="9"/>
      <c r="B76" s="10"/>
      <c r="C76" s="11"/>
      <c r="D76" s="12"/>
      <c r="E76" s="13"/>
      <c r="F76" s="12"/>
      <c r="G76" s="14"/>
    </row>
    <row r="77" spans="1:7" x14ac:dyDescent="0.2">
      <c r="A77" s="9"/>
      <c r="B77" s="10"/>
      <c r="C77" s="11"/>
      <c r="D77" s="12"/>
      <c r="E77" s="13"/>
      <c r="F77" s="12"/>
      <c r="G77" s="14"/>
    </row>
    <row r="78" spans="1:7" x14ac:dyDescent="0.2">
      <c r="A78" s="9"/>
      <c r="B78" s="10"/>
      <c r="C78" s="11"/>
      <c r="D78" s="12"/>
      <c r="E78" s="13"/>
      <c r="F78" s="12"/>
      <c r="G78" s="14"/>
    </row>
    <row r="79" spans="1:7" x14ac:dyDescent="0.2">
      <c r="A79" s="9"/>
      <c r="B79" s="10"/>
      <c r="C79" s="11"/>
      <c r="D79" s="12"/>
      <c r="E79" s="13"/>
      <c r="F79" s="12"/>
      <c r="G79" s="14"/>
    </row>
    <row r="80" spans="1:7" x14ac:dyDescent="0.2">
      <c r="A80" s="9"/>
      <c r="B80" s="10"/>
      <c r="C80" s="11"/>
      <c r="D80" s="12"/>
      <c r="E80" s="13"/>
      <c r="F80" s="12"/>
      <c r="G80" s="14"/>
    </row>
    <row r="81" spans="1:7" x14ac:dyDescent="0.2">
      <c r="A81" s="9"/>
      <c r="B81" s="10"/>
      <c r="C81" s="11"/>
      <c r="D81" s="12"/>
      <c r="E81" s="13"/>
      <c r="F81" s="12"/>
      <c r="G81" s="14"/>
    </row>
    <row r="82" spans="1:7" x14ac:dyDescent="0.2">
      <c r="A82" s="9"/>
      <c r="B82" s="10"/>
      <c r="C82" s="11"/>
      <c r="D82" s="12"/>
      <c r="E82" s="13"/>
      <c r="F82" s="12"/>
      <c r="G82" s="14"/>
    </row>
    <row r="83" spans="1:7" x14ac:dyDescent="0.2">
      <c r="A83" s="9"/>
      <c r="B83" s="10"/>
      <c r="C83" s="11"/>
      <c r="D83" s="12"/>
      <c r="E83" s="13"/>
      <c r="F83" s="12"/>
      <c r="G83" s="14"/>
    </row>
    <row r="84" spans="1:7" x14ac:dyDescent="0.2">
      <c r="A84" s="9"/>
      <c r="B84" s="10"/>
      <c r="C84" s="11"/>
      <c r="D84" s="12"/>
      <c r="E84" s="13"/>
      <c r="F84" s="12"/>
      <c r="G84" s="14"/>
    </row>
    <row r="85" spans="1:7" x14ac:dyDescent="0.2">
      <c r="A85" s="9"/>
      <c r="B85" s="10"/>
      <c r="C85" s="11"/>
      <c r="D85" s="12"/>
      <c r="E85" s="13"/>
      <c r="F85" s="12"/>
      <c r="G85" s="14"/>
    </row>
    <row r="86" spans="1:7" x14ac:dyDescent="0.2">
      <c r="A86" s="9"/>
      <c r="B86" s="10"/>
      <c r="C86" s="11"/>
      <c r="D86" s="12"/>
      <c r="E86" s="13"/>
      <c r="F86" s="12"/>
      <c r="G86" s="14"/>
    </row>
    <row r="87" spans="1:7" x14ac:dyDescent="0.2">
      <c r="A87" s="9"/>
      <c r="B87" s="10"/>
      <c r="C87" s="11"/>
      <c r="D87" s="12"/>
      <c r="E87" s="13"/>
      <c r="F87" s="12"/>
      <c r="G87" s="14"/>
    </row>
    <row r="88" spans="1:7" x14ac:dyDescent="0.2">
      <c r="A88" s="9"/>
      <c r="B88" s="10"/>
      <c r="C88" s="11"/>
      <c r="D88" s="12"/>
      <c r="E88" s="13"/>
      <c r="F88" s="12"/>
      <c r="G88" s="14"/>
    </row>
    <row r="89" spans="1:7" x14ac:dyDescent="0.2">
      <c r="A89" s="9"/>
      <c r="B89" s="10"/>
      <c r="C89" s="11"/>
      <c r="D89" s="12"/>
      <c r="E89" s="13"/>
      <c r="F89" s="12"/>
      <c r="G89" s="14"/>
    </row>
    <row r="90" spans="1:7" x14ac:dyDescent="0.2">
      <c r="A90" s="9"/>
      <c r="B90" s="10"/>
      <c r="C90" s="11"/>
      <c r="D90" s="12"/>
      <c r="E90" s="13"/>
      <c r="F90" s="12"/>
      <c r="G90" s="14"/>
    </row>
    <row r="91" spans="1:7" x14ac:dyDescent="0.2">
      <c r="A91" s="9"/>
      <c r="B91" s="10"/>
      <c r="C91" s="11"/>
      <c r="D91" s="12"/>
      <c r="E91" s="13"/>
      <c r="F91" s="12"/>
      <c r="G91" s="14"/>
    </row>
    <row r="92" spans="1:7" x14ac:dyDescent="0.2">
      <c r="A92" s="9"/>
      <c r="B92" s="10"/>
      <c r="C92" s="11"/>
      <c r="D92" s="12"/>
      <c r="E92" s="13"/>
      <c r="F92" s="12"/>
      <c r="G92" s="14"/>
    </row>
    <row r="93" spans="1:7" x14ac:dyDescent="0.2">
      <c r="A93" s="9"/>
      <c r="B93" s="10"/>
      <c r="C93" s="11"/>
      <c r="D93" s="12"/>
      <c r="E93" s="13"/>
      <c r="F93" s="12"/>
      <c r="G93" s="14"/>
    </row>
    <row r="94" spans="1:7" x14ac:dyDescent="0.2">
      <c r="A94" s="9"/>
      <c r="B94" s="10"/>
      <c r="C94" s="11"/>
      <c r="D94" s="12"/>
      <c r="E94" s="13"/>
      <c r="F94" s="12"/>
      <c r="G94" s="14"/>
    </row>
    <row r="95" spans="1:7" x14ac:dyDescent="0.2">
      <c r="A95" s="9"/>
      <c r="B95" s="10"/>
      <c r="C95" s="11"/>
      <c r="D95" s="12"/>
      <c r="E95" s="13"/>
      <c r="F95" s="12"/>
      <c r="G95" s="14"/>
    </row>
    <row r="96" spans="1:7" x14ac:dyDescent="0.2">
      <c r="A96" s="9"/>
      <c r="B96" s="10"/>
      <c r="C96" s="11"/>
      <c r="D96" s="12"/>
      <c r="E96" s="13"/>
      <c r="F96" s="12"/>
      <c r="G96" s="14"/>
    </row>
    <row r="97" spans="1:7" x14ac:dyDescent="0.2">
      <c r="A97" s="9"/>
      <c r="B97" s="10"/>
      <c r="C97" s="11"/>
      <c r="D97" s="12"/>
      <c r="E97" s="13"/>
      <c r="F97" s="12"/>
      <c r="G97" s="14"/>
    </row>
    <row r="98" spans="1:7" x14ac:dyDescent="0.2">
      <c r="A98" s="9"/>
      <c r="B98" s="10"/>
      <c r="C98" s="11"/>
      <c r="D98" s="12"/>
      <c r="E98" s="13"/>
      <c r="F98" s="12"/>
      <c r="G98" s="14"/>
    </row>
    <row r="99" spans="1:7" x14ac:dyDescent="0.2">
      <c r="A99" s="9"/>
      <c r="B99" s="10"/>
      <c r="C99" s="11"/>
      <c r="D99" s="12"/>
      <c r="E99" s="13"/>
      <c r="F99" s="12"/>
      <c r="G99" s="14"/>
    </row>
    <row r="100" spans="1:7" x14ac:dyDescent="0.2">
      <c r="A100" s="9"/>
      <c r="B100" s="10"/>
      <c r="C100" s="11"/>
      <c r="D100" s="12"/>
      <c r="E100" s="13"/>
      <c r="F100" s="12"/>
      <c r="G100" s="14"/>
    </row>
    <row r="101" spans="1:7" x14ac:dyDescent="0.2">
      <c r="A101" s="9"/>
      <c r="B101" s="10"/>
      <c r="C101" s="11"/>
      <c r="D101" s="12"/>
      <c r="E101" s="13"/>
      <c r="F101" s="12"/>
      <c r="G101" s="14"/>
    </row>
    <row r="102" spans="1:7" x14ac:dyDescent="0.2">
      <c r="A102" s="9"/>
      <c r="B102" s="10"/>
      <c r="C102" s="11"/>
      <c r="D102" s="12"/>
      <c r="E102" s="13"/>
      <c r="F102" s="12"/>
      <c r="G102" s="14"/>
    </row>
    <row r="103" spans="1:7" x14ac:dyDescent="0.2">
      <c r="A103" s="9"/>
      <c r="B103" s="10"/>
      <c r="C103" s="11"/>
      <c r="D103" s="12"/>
      <c r="E103" s="13"/>
      <c r="F103" s="12"/>
      <c r="G103" s="14"/>
    </row>
    <row r="104" spans="1:7" x14ac:dyDescent="0.2">
      <c r="A104" s="9"/>
      <c r="B104" s="10"/>
      <c r="C104" s="11"/>
      <c r="D104" s="12"/>
      <c r="E104" s="13"/>
      <c r="F104" s="12"/>
      <c r="G104" s="14"/>
    </row>
    <row r="105" spans="1:7" x14ac:dyDescent="0.2">
      <c r="A105" s="9"/>
      <c r="B105" s="10"/>
      <c r="C105" s="11"/>
      <c r="D105" s="12"/>
      <c r="E105" s="13"/>
      <c r="F105" s="12"/>
      <c r="G105" s="14"/>
    </row>
    <row r="106" spans="1:7" x14ac:dyDescent="0.2">
      <c r="A106" s="9"/>
      <c r="B106" s="10"/>
      <c r="C106" s="11"/>
      <c r="D106" s="12"/>
      <c r="E106" s="13"/>
      <c r="F106" s="12"/>
      <c r="G106" s="14"/>
    </row>
    <row r="107" spans="1:7" x14ac:dyDescent="0.2">
      <c r="A107" s="9"/>
      <c r="B107" s="10"/>
      <c r="C107" s="11"/>
      <c r="D107" s="12"/>
      <c r="E107" s="13"/>
      <c r="F107" s="12"/>
      <c r="G107" s="14"/>
    </row>
    <row r="108" spans="1:7" x14ac:dyDescent="0.2">
      <c r="A108" s="9"/>
      <c r="B108" s="10"/>
      <c r="C108" s="11"/>
      <c r="D108" s="12"/>
      <c r="E108" s="13"/>
      <c r="F108" s="12"/>
      <c r="G108" s="14"/>
    </row>
    <row r="109" spans="1:7" x14ac:dyDescent="0.2">
      <c r="A109" s="9"/>
      <c r="B109" s="10"/>
      <c r="C109" s="11"/>
      <c r="D109" s="12"/>
      <c r="E109" s="13"/>
      <c r="F109" s="12"/>
      <c r="G109" s="14"/>
    </row>
    <row r="110" spans="1:7" x14ac:dyDescent="0.2">
      <c r="A110" s="9"/>
      <c r="B110" s="10"/>
      <c r="C110" s="11"/>
      <c r="D110" s="12"/>
      <c r="E110" s="13"/>
      <c r="F110" s="12"/>
      <c r="G110" s="14"/>
    </row>
    <row r="111" spans="1:7" x14ac:dyDescent="0.2">
      <c r="A111" s="9"/>
      <c r="B111" s="10"/>
      <c r="C111" s="11"/>
      <c r="D111" s="12"/>
      <c r="E111" s="13"/>
      <c r="F111" s="12"/>
      <c r="G111" s="14"/>
    </row>
    <row r="112" spans="1:7" x14ac:dyDescent="0.2">
      <c r="A112" s="9"/>
      <c r="B112" s="10"/>
      <c r="C112" s="11"/>
      <c r="D112" s="12"/>
      <c r="E112" s="13"/>
      <c r="F112" s="12"/>
      <c r="G112" s="14"/>
    </row>
    <row r="113" spans="1:7" x14ac:dyDescent="0.2">
      <c r="A113" s="9"/>
      <c r="B113" s="10"/>
      <c r="C113" s="11"/>
      <c r="D113" s="12"/>
      <c r="E113" s="13"/>
      <c r="F113" s="12"/>
      <c r="G113" s="14"/>
    </row>
    <row r="114" spans="1:7" x14ac:dyDescent="0.2">
      <c r="A114" s="9"/>
      <c r="B114" s="10"/>
      <c r="C114" s="11"/>
      <c r="D114" s="12"/>
      <c r="E114" s="13"/>
      <c r="F114" s="12"/>
      <c r="G114" s="14"/>
    </row>
    <row r="115" spans="1:7" x14ac:dyDescent="0.2">
      <c r="A115" s="9"/>
      <c r="B115" s="10"/>
      <c r="C115" s="11"/>
      <c r="D115" s="12"/>
      <c r="E115" s="13"/>
      <c r="F115" s="12"/>
      <c r="G115" s="14"/>
    </row>
    <row r="116" spans="1:7" x14ac:dyDescent="0.2">
      <c r="A116" s="9"/>
      <c r="B116" s="10"/>
      <c r="C116" s="11"/>
      <c r="D116" s="12"/>
      <c r="E116" s="13"/>
      <c r="F116" s="12"/>
      <c r="G116" s="14"/>
    </row>
    <row r="117" spans="1:7" x14ac:dyDescent="0.2">
      <c r="A117" s="9"/>
      <c r="B117" s="10"/>
      <c r="C117" s="11"/>
      <c r="D117" s="12"/>
      <c r="E117" s="13"/>
      <c r="F117" s="12"/>
      <c r="G117" s="14"/>
    </row>
    <row r="118" spans="1:7" x14ac:dyDescent="0.2">
      <c r="A118" s="9"/>
      <c r="B118" s="10"/>
      <c r="C118" s="11"/>
      <c r="D118" s="12"/>
      <c r="E118" s="13"/>
      <c r="F118" s="12"/>
      <c r="G118" s="14"/>
    </row>
    <row r="119" spans="1:7" x14ac:dyDescent="0.2">
      <c r="A119" s="9"/>
      <c r="B119" s="10"/>
      <c r="C119" s="11"/>
      <c r="D119" s="12"/>
      <c r="E119" s="13"/>
      <c r="F119" s="12"/>
      <c r="G119" s="14"/>
    </row>
    <row r="120" spans="1:7" x14ac:dyDescent="0.2">
      <c r="A120" s="9"/>
      <c r="B120" s="10"/>
      <c r="C120" s="11"/>
      <c r="D120" s="12"/>
      <c r="E120" s="13"/>
      <c r="F120" s="12"/>
      <c r="G120" s="14"/>
    </row>
    <row r="121" spans="1:7" x14ac:dyDescent="0.2">
      <c r="A121" s="9"/>
      <c r="B121" s="10"/>
      <c r="C121" s="11"/>
      <c r="D121" s="12"/>
      <c r="E121" s="13"/>
      <c r="F121" s="12"/>
      <c r="G121" s="14"/>
    </row>
    <row r="122" spans="1:7" x14ac:dyDescent="0.2">
      <c r="A122" s="9"/>
      <c r="B122" s="10"/>
      <c r="C122" s="11"/>
      <c r="D122" s="12"/>
      <c r="E122" s="13"/>
      <c r="F122" s="12"/>
      <c r="G122" s="14"/>
    </row>
    <row r="123" spans="1:7" x14ac:dyDescent="0.2">
      <c r="A123" s="9"/>
      <c r="B123" s="10"/>
      <c r="C123" s="11"/>
      <c r="D123" s="12"/>
      <c r="E123" s="13"/>
      <c r="F123" s="12"/>
      <c r="G123" s="14"/>
    </row>
    <row r="124" spans="1:7" x14ac:dyDescent="0.2">
      <c r="A124" s="9"/>
      <c r="B124" s="10"/>
      <c r="C124" s="11"/>
      <c r="D124" s="12"/>
      <c r="E124" s="13"/>
      <c r="F124" s="12"/>
      <c r="G124" s="14"/>
    </row>
    <row r="125" spans="1:7" x14ac:dyDescent="0.2">
      <c r="A125" s="9"/>
      <c r="B125" s="10"/>
      <c r="C125" s="11"/>
      <c r="D125" s="12"/>
      <c r="E125" s="13"/>
      <c r="F125" s="12"/>
      <c r="G125" s="14"/>
    </row>
    <row r="126" spans="1:7" x14ac:dyDescent="0.2">
      <c r="A126" s="9"/>
      <c r="B126" s="10"/>
      <c r="C126" s="11"/>
      <c r="D126" s="12"/>
      <c r="E126" s="13"/>
      <c r="F126" s="12"/>
      <c r="G126" s="14"/>
    </row>
    <row r="127" spans="1:7" x14ac:dyDescent="0.2">
      <c r="A127" s="9"/>
      <c r="B127" s="10"/>
      <c r="C127" s="11"/>
      <c r="D127" s="12"/>
      <c r="E127" s="13"/>
      <c r="F127" s="12"/>
      <c r="G127" s="14"/>
    </row>
    <row r="128" spans="1:7" x14ac:dyDescent="0.2">
      <c r="A128" s="9"/>
      <c r="B128" s="10"/>
      <c r="C128" s="11"/>
      <c r="D128" s="12"/>
      <c r="E128" s="13"/>
      <c r="F128" s="12"/>
      <c r="G128" s="14"/>
    </row>
    <row r="129" spans="1:7" x14ac:dyDescent="0.2">
      <c r="A129" s="9"/>
      <c r="B129" s="10"/>
      <c r="C129" s="11"/>
      <c r="D129" s="12"/>
      <c r="E129" s="13"/>
      <c r="F129" s="12"/>
      <c r="G129" s="14"/>
    </row>
    <row r="130" spans="1:7" x14ac:dyDescent="0.2">
      <c r="A130" s="9"/>
      <c r="B130" s="10"/>
      <c r="C130" s="11"/>
      <c r="D130" s="12"/>
      <c r="E130" s="13"/>
      <c r="F130" s="12"/>
      <c r="G130" s="14"/>
    </row>
    <row r="131" spans="1:7" x14ac:dyDescent="0.2">
      <c r="A131" s="9"/>
      <c r="B131" s="10"/>
      <c r="C131" s="11"/>
      <c r="D131" s="12"/>
      <c r="E131" s="13"/>
      <c r="F131" s="12"/>
      <c r="G131" s="14"/>
    </row>
    <row r="132" spans="1:7" x14ac:dyDescent="0.2">
      <c r="A132" s="9"/>
      <c r="B132" s="10"/>
      <c r="C132" s="11"/>
      <c r="D132" s="12"/>
      <c r="E132" s="13"/>
      <c r="F132" s="12"/>
      <c r="G132" s="14"/>
    </row>
    <row r="133" spans="1:7" x14ac:dyDescent="0.2">
      <c r="A133" s="9"/>
      <c r="B133" s="10"/>
      <c r="C133" s="11"/>
      <c r="D133" s="12"/>
      <c r="E133" s="13"/>
      <c r="F133" s="12"/>
      <c r="G133" s="14"/>
    </row>
    <row r="134" spans="1:7" x14ac:dyDescent="0.2">
      <c r="A134" s="9"/>
      <c r="B134" s="10"/>
      <c r="C134" s="11"/>
      <c r="D134" s="12"/>
      <c r="E134" s="13"/>
      <c r="F134" s="12"/>
      <c r="G134" s="14"/>
    </row>
    <row r="135" spans="1:7" x14ac:dyDescent="0.2">
      <c r="A135" s="9"/>
      <c r="B135" s="10"/>
      <c r="C135" s="11"/>
      <c r="D135" s="12"/>
      <c r="E135" s="13"/>
      <c r="F135" s="12"/>
      <c r="G135" s="14"/>
    </row>
    <row r="136" spans="1:7" x14ac:dyDescent="0.2">
      <c r="A136" s="9"/>
      <c r="B136" s="10"/>
      <c r="C136" s="11"/>
      <c r="D136" s="12"/>
      <c r="E136" s="13"/>
      <c r="F136" s="12"/>
      <c r="G136" s="14"/>
    </row>
    <row r="137" spans="1:7" x14ac:dyDescent="0.2">
      <c r="A137" s="9"/>
      <c r="B137" s="10"/>
      <c r="C137" s="11"/>
      <c r="D137" s="12"/>
      <c r="E137" s="13"/>
      <c r="F137" s="12"/>
      <c r="G137" s="14"/>
    </row>
    <row r="138" spans="1:7" x14ac:dyDescent="0.2">
      <c r="A138" s="9"/>
      <c r="B138" s="10"/>
      <c r="C138" s="11"/>
      <c r="D138" s="12"/>
      <c r="E138" s="13"/>
      <c r="F138" s="12"/>
      <c r="G138" s="14"/>
    </row>
    <row r="139" spans="1:7" x14ac:dyDescent="0.2">
      <c r="A139" s="9"/>
      <c r="B139" s="10"/>
      <c r="C139" s="11"/>
      <c r="D139" s="12"/>
      <c r="E139" s="13"/>
      <c r="F139" s="12"/>
      <c r="G139" s="14"/>
    </row>
    <row r="140" spans="1:7" x14ac:dyDescent="0.2">
      <c r="A140" s="9"/>
      <c r="B140" s="10"/>
      <c r="C140" s="11"/>
      <c r="D140" s="12"/>
      <c r="E140" s="13"/>
      <c r="F140" s="12"/>
      <c r="G140" s="14"/>
    </row>
    <row r="141" spans="1:7" x14ac:dyDescent="0.2">
      <c r="A141" s="9"/>
      <c r="B141" s="10"/>
      <c r="C141" s="11"/>
      <c r="D141" s="12"/>
      <c r="E141" s="13"/>
      <c r="F141" s="12"/>
      <c r="G141" s="14"/>
    </row>
    <row r="142" spans="1:7" x14ac:dyDescent="0.2">
      <c r="A142" s="9"/>
      <c r="B142" s="10"/>
      <c r="C142" s="11"/>
      <c r="D142" s="12"/>
      <c r="E142" s="13"/>
      <c r="F142" s="12"/>
      <c r="G142" s="14"/>
    </row>
    <row r="143" spans="1:7" x14ac:dyDescent="0.2">
      <c r="A143" s="9"/>
      <c r="B143" s="10"/>
      <c r="C143" s="11"/>
      <c r="D143" s="12"/>
      <c r="E143" s="13"/>
      <c r="F143" s="12"/>
      <c r="G143" s="14"/>
    </row>
    <row r="144" spans="1:7" x14ac:dyDescent="0.2">
      <c r="A144" s="9"/>
      <c r="B144" s="10"/>
      <c r="C144" s="11"/>
      <c r="D144" s="12"/>
      <c r="E144" s="13"/>
      <c r="F144" s="12"/>
      <c r="G144" s="14"/>
    </row>
    <row r="145" spans="1:7" x14ac:dyDescent="0.2">
      <c r="A145" s="9"/>
      <c r="B145" s="10"/>
      <c r="C145" s="11"/>
      <c r="D145" s="12"/>
      <c r="E145" s="13"/>
      <c r="F145" s="12"/>
      <c r="G145" s="14"/>
    </row>
    <row r="146" spans="1:7" x14ac:dyDescent="0.2">
      <c r="A146" s="9"/>
      <c r="B146" s="10"/>
      <c r="C146" s="11"/>
      <c r="D146" s="12"/>
      <c r="E146" s="13"/>
      <c r="F146" s="12"/>
      <c r="G146" s="14"/>
    </row>
    <row r="147" spans="1:7" x14ac:dyDescent="0.2">
      <c r="A147" s="9"/>
      <c r="B147" s="10"/>
      <c r="C147" s="11"/>
      <c r="D147" s="12"/>
      <c r="E147" s="13"/>
      <c r="F147" s="12"/>
      <c r="G147" s="14"/>
    </row>
    <row r="148" spans="1:7" x14ac:dyDescent="0.2">
      <c r="A148" s="9"/>
      <c r="B148" s="10"/>
      <c r="C148" s="11"/>
      <c r="D148" s="12"/>
      <c r="E148" s="13"/>
      <c r="F148" s="12"/>
      <c r="G148" s="14"/>
    </row>
    <row r="149" spans="1:7" x14ac:dyDescent="0.2">
      <c r="A149" s="9"/>
      <c r="B149" s="10"/>
      <c r="C149" s="11"/>
      <c r="D149" s="12"/>
      <c r="E149" s="13"/>
      <c r="F149" s="12"/>
      <c r="G149" s="14"/>
    </row>
    <row r="150" spans="1:7" x14ac:dyDescent="0.2">
      <c r="A150" s="9"/>
      <c r="B150" s="10"/>
      <c r="C150" s="11"/>
      <c r="D150" s="12"/>
      <c r="E150" s="13"/>
      <c r="F150" s="12"/>
      <c r="G150" s="14"/>
    </row>
    <row r="151" spans="1:7" x14ac:dyDescent="0.2">
      <c r="A151" s="9"/>
      <c r="B151" s="10"/>
      <c r="C151" s="11"/>
      <c r="D151" s="12"/>
      <c r="E151" s="13"/>
      <c r="F151" s="12"/>
      <c r="G151" s="14"/>
    </row>
    <row r="152" spans="1:7" x14ac:dyDescent="0.2">
      <c r="A152" s="9"/>
      <c r="B152" s="10"/>
      <c r="C152" s="11"/>
      <c r="D152" s="12"/>
      <c r="E152" s="13"/>
      <c r="F152" s="12"/>
      <c r="G152" s="14"/>
    </row>
    <row r="153" spans="1:7" x14ac:dyDescent="0.2">
      <c r="A153" s="9"/>
      <c r="B153" s="10"/>
      <c r="C153" s="11"/>
      <c r="D153" s="12"/>
      <c r="E153" s="13"/>
      <c r="F153" s="12"/>
      <c r="G153" s="14"/>
    </row>
    <row r="154" spans="1:7" x14ac:dyDescent="0.2">
      <c r="A154" s="9"/>
      <c r="B154" s="10"/>
      <c r="C154" s="11"/>
      <c r="D154" s="12"/>
      <c r="E154" s="13"/>
      <c r="F154" s="12"/>
      <c r="G154" s="14"/>
    </row>
    <row r="155" spans="1:7" x14ac:dyDescent="0.2">
      <c r="A155" s="9"/>
      <c r="B155" s="10"/>
      <c r="C155" s="11"/>
      <c r="D155" s="12"/>
      <c r="E155" s="13"/>
      <c r="F155" s="12"/>
      <c r="G155" s="14"/>
    </row>
    <row r="156" spans="1:7" x14ac:dyDescent="0.2">
      <c r="A156" s="9"/>
      <c r="B156" s="10"/>
      <c r="C156" s="11"/>
      <c r="D156" s="12"/>
      <c r="E156" s="13"/>
      <c r="F156" s="12"/>
      <c r="G156" s="14"/>
    </row>
    <row r="157" spans="1:7" x14ac:dyDescent="0.2">
      <c r="A157" s="9"/>
      <c r="B157" s="10"/>
      <c r="C157" s="11"/>
      <c r="D157" s="12"/>
      <c r="E157" s="13"/>
      <c r="F157" s="12"/>
      <c r="G157" s="14"/>
    </row>
    <row r="158" spans="1:7" x14ac:dyDescent="0.2">
      <c r="A158" s="9"/>
      <c r="B158" s="10"/>
      <c r="C158" s="11"/>
      <c r="D158" s="12"/>
      <c r="E158" s="13"/>
      <c r="F158" s="12"/>
      <c r="G158" s="14"/>
    </row>
    <row r="159" spans="1:7" x14ac:dyDescent="0.2">
      <c r="A159" s="9"/>
      <c r="B159" s="10"/>
      <c r="C159" s="11"/>
      <c r="D159" s="12"/>
      <c r="E159" s="13"/>
      <c r="F159" s="12"/>
      <c r="G159" s="14"/>
    </row>
    <row r="160" spans="1:7" x14ac:dyDescent="0.2">
      <c r="A160" s="9"/>
      <c r="B160" s="10"/>
      <c r="C160" s="11"/>
      <c r="D160" s="12"/>
      <c r="E160" s="13"/>
      <c r="F160" s="12"/>
      <c r="G160" s="14"/>
    </row>
    <row r="161" spans="1:7" x14ac:dyDescent="0.2">
      <c r="A161" s="9"/>
      <c r="B161" s="10"/>
      <c r="C161" s="11"/>
      <c r="D161" s="12"/>
      <c r="E161" s="13"/>
      <c r="F161" s="12"/>
      <c r="G161" s="14"/>
    </row>
    <row r="162" spans="1:7" x14ac:dyDescent="0.2">
      <c r="A162" s="9"/>
      <c r="B162" s="10"/>
      <c r="C162" s="11"/>
      <c r="D162" s="12"/>
      <c r="E162" s="13"/>
      <c r="F162" s="12"/>
      <c r="G162" s="14"/>
    </row>
    <row r="163" spans="1:7" x14ac:dyDescent="0.2">
      <c r="A163" s="9"/>
      <c r="B163" s="10"/>
      <c r="C163" s="11"/>
      <c r="D163" s="12"/>
      <c r="E163" s="13"/>
      <c r="F163" s="12"/>
      <c r="G163" s="14"/>
    </row>
    <row r="164" spans="1:7" x14ac:dyDescent="0.2">
      <c r="A164" s="9"/>
      <c r="B164" s="10"/>
      <c r="C164" s="11"/>
      <c r="D164" s="12"/>
      <c r="E164" s="13"/>
      <c r="F164" s="12"/>
      <c r="G164" s="14"/>
    </row>
    <row r="165" spans="1:7" x14ac:dyDescent="0.2">
      <c r="A165" s="9"/>
      <c r="B165" s="10"/>
      <c r="C165" s="11"/>
      <c r="D165" s="12"/>
      <c r="E165" s="13"/>
      <c r="F165" s="12"/>
      <c r="G165" s="14"/>
    </row>
    <row r="166" spans="1:7" x14ac:dyDescent="0.2">
      <c r="A166" s="9"/>
      <c r="B166" s="10"/>
      <c r="C166" s="11"/>
      <c r="D166" s="12"/>
      <c r="E166" s="13"/>
      <c r="F166" s="12"/>
      <c r="G166" s="14"/>
    </row>
    <row r="167" spans="1:7" x14ac:dyDescent="0.2">
      <c r="A167" s="9"/>
      <c r="B167" s="10"/>
      <c r="C167" s="11"/>
      <c r="D167" s="12"/>
      <c r="E167" s="13"/>
      <c r="F167" s="12"/>
      <c r="G167" s="14"/>
    </row>
    <row r="168" spans="1:7" x14ac:dyDescent="0.2">
      <c r="A168" s="9"/>
      <c r="B168" s="10"/>
      <c r="C168" s="11"/>
      <c r="D168" s="12"/>
      <c r="E168" s="13"/>
      <c r="F168" s="12"/>
      <c r="G168" s="14"/>
    </row>
    <row r="169" spans="1:7" x14ac:dyDescent="0.2">
      <c r="A169" s="9"/>
      <c r="B169" s="10"/>
      <c r="C169" s="11"/>
      <c r="D169" s="12"/>
      <c r="E169" s="13"/>
      <c r="F169" s="12"/>
      <c r="G169" s="14"/>
    </row>
    <row r="170" spans="1:7" x14ac:dyDescent="0.2">
      <c r="A170" s="9"/>
      <c r="B170" s="10"/>
      <c r="C170" s="11"/>
      <c r="D170" s="12"/>
      <c r="E170" s="13"/>
      <c r="F170" s="12"/>
      <c r="G170" s="14"/>
    </row>
    <row r="171" spans="1:7" x14ac:dyDescent="0.2">
      <c r="A171" s="9"/>
      <c r="B171" s="10"/>
      <c r="C171" s="11"/>
      <c r="D171" s="12"/>
      <c r="E171" s="13"/>
      <c r="F171" s="12"/>
      <c r="G171" s="14"/>
    </row>
    <row r="172" spans="1:7" x14ac:dyDescent="0.2">
      <c r="A172" s="9"/>
      <c r="B172" s="10"/>
      <c r="C172" s="11"/>
      <c r="D172" s="12"/>
      <c r="E172" s="13"/>
      <c r="F172" s="12"/>
      <c r="G172" s="14"/>
    </row>
    <row r="173" spans="1:7" x14ac:dyDescent="0.2">
      <c r="A173" s="9"/>
      <c r="B173" s="10"/>
      <c r="C173" s="11"/>
      <c r="D173" s="12"/>
      <c r="E173" s="13"/>
      <c r="F173" s="12"/>
      <c r="G173" s="14"/>
    </row>
    <row r="174" spans="1:7" x14ac:dyDescent="0.2">
      <c r="A174" s="9"/>
      <c r="B174" s="10"/>
      <c r="C174" s="11"/>
      <c r="D174" s="12"/>
      <c r="E174" s="13"/>
      <c r="F174" s="12"/>
      <c r="G174" s="14"/>
    </row>
    <row r="175" spans="1:7" x14ac:dyDescent="0.2">
      <c r="A175" s="9"/>
      <c r="B175" s="10"/>
      <c r="C175" s="11"/>
      <c r="D175" s="12"/>
      <c r="E175" s="13"/>
      <c r="F175" s="12"/>
      <c r="G175" s="14"/>
    </row>
    <row r="176" spans="1:7" x14ac:dyDescent="0.2">
      <c r="A176" s="9"/>
      <c r="B176" s="10"/>
      <c r="C176" s="11"/>
      <c r="D176" s="12"/>
      <c r="E176" s="13"/>
      <c r="F176" s="12"/>
      <c r="G176" s="14"/>
    </row>
    <row r="177" spans="1:7" x14ac:dyDescent="0.2">
      <c r="A177" s="9"/>
      <c r="B177" s="10"/>
      <c r="C177" s="11"/>
      <c r="D177" s="12"/>
      <c r="E177" s="13"/>
      <c r="F177" s="12"/>
      <c r="G177" s="14"/>
    </row>
    <row r="178" spans="1:7" x14ac:dyDescent="0.2">
      <c r="A178" s="9"/>
      <c r="B178" s="10"/>
      <c r="C178" s="11"/>
      <c r="D178" s="12"/>
      <c r="E178" s="13"/>
      <c r="F178" s="12"/>
      <c r="G178" s="14"/>
    </row>
    <row r="179" spans="1:7" x14ac:dyDescent="0.2">
      <c r="A179" s="9"/>
      <c r="B179" s="10"/>
      <c r="C179" s="11"/>
      <c r="D179" s="12"/>
      <c r="E179" s="13"/>
      <c r="F179" s="12"/>
      <c r="G179" s="14"/>
    </row>
    <row r="180" spans="1:7" x14ac:dyDescent="0.2">
      <c r="A180" s="9"/>
      <c r="B180" s="10"/>
      <c r="C180" s="11"/>
      <c r="D180" s="12"/>
      <c r="E180" s="13"/>
      <c r="F180" s="12"/>
      <c r="G180" s="14"/>
    </row>
    <row r="181" spans="1:7" x14ac:dyDescent="0.2">
      <c r="A181" s="9"/>
      <c r="B181" s="10"/>
      <c r="C181" s="11"/>
      <c r="D181" s="12"/>
      <c r="E181" s="13"/>
      <c r="F181" s="12"/>
      <c r="G181" s="14"/>
    </row>
    <row r="182" spans="1:7" x14ac:dyDescent="0.2">
      <c r="A182" s="9"/>
      <c r="B182" s="10"/>
      <c r="C182" s="11"/>
      <c r="D182" s="12"/>
      <c r="E182" s="13"/>
      <c r="F182" s="12"/>
      <c r="G182" s="14"/>
    </row>
    <row r="183" spans="1:7" x14ac:dyDescent="0.2">
      <c r="A183" s="9"/>
      <c r="B183" s="10"/>
      <c r="C183" s="11"/>
      <c r="D183" s="12"/>
      <c r="E183" s="13"/>
      <c r="F183" s="12"/>
      <c r="G183" s="14"/>
    </row>
    <row r="184" spans="1:7" x14ac:dyDescent="0.2">
      <c r="A184" s="9"/>
      <c r="B184" s="10"/>
      <c r="C184" s="11"/>
      <c r="D184" s="12"/>
      <c r="E184" s="13"/>
      <c r="F184" s="12"/>
      <c r="G184" s="14"/>
    </row>
    <row r="185" spans="1:7" x14ac:dyDescent="0.2">
      <c r="A185" s="9"/>
      <c r="B185" s="10"/>
      <c r="C185" s="11"/>
      <c r="D185" s="12"/>
      <c r="E185" s="13"/>
      <c r="F185" s="12"/>
      <c r="G185" s="14"/>
    </row>
    <row r="186" spans="1:7" x14ac:dyDescent="0.2">
      <c r="A186" s="9"/>
      <c r="B186" s="10"/>
      <c r="C186" s="11"/>
      <c r="D186" s="12"/>
      <c r="E186" s="13"/>
      <c r="F186" s="12"/>
      <c r="G186" s="14"/>
    </row>
    <row r="187" spans="1:7" x14ac:dyDescent="0.2">
      <c r="A187" s="9"/>
      <c r="B187" s="10"/>
      <c r="C187" s="11"/>
      <c r="D187" s="12"/>
      <c r="E187" s="13"/>
      <c r="F187" s="12"/>
      <c r="G187" s="14"/>
    </row>
    <row r="188" spans="1:7" x14ac:dyDescent="0.2">
      <c r="A188" s="9"/>
      <c r="B188" s="10"/>
      <c r="C188" s="11"/>
      <c r="D188" s="12"/>
      <c r="E188" s="13"/>
      <c r="F188" s="12"/>
      <c r="G188" s="14"/>
    </row>
    <row r="189" spans="1:7" x14ac:dyDescent="0.2">
      <c r="A189" s="9"/>
      <c r="B189" s="10"/>
      <c r="C189" s="11"/>
      <c r="D189" s="12"/>
      <c r="E189" s="13"/>
      <c r="F189" s="12"/>
      <c r="G189" s="14"/>
    </row>
    <row r="190" spans="1:7" x14ac:dyDescent="0.2">
      <c r="A190" s="9"/>
      <c r="B190" s="10"/>
      <c r="C190" s="11"/>
      <c r="D190" s="12"/>
      <c r="E190" s="13"/>
      <c r="F190" s="12"/>
      <c r="G190" s="14"/>
    </row>
    <row r="191" spans="1:7" x14ac:dyDescent="0.2">
      <c r="A191" s="9"/>
      <c r="B191" s="10"/>
      <c r="C191" s="11"/>
      <c r="D191" s="12"/>
      <c r="E191" s="13"/>
      <c r="F191" s="12"/>
      <c r="G191" s="14"/>
    </row>
    <row r="192" spans="1:7" x14ac:dyDescent="0.2">
      <c r="A192" s="9"/>
      <c r="B192" s="10"/>
      <c r="C192" s="11"/>
      <c r="D192" s="12"/>
      <c r="E192" s="13"/>
      <c r="F192" s="12"/>
      <c r="G192" s="14"/>
    </row>
    <row r="193" spans="1:7" x14ac:dyDescent="0.2">
      <c r="A193" s="9"/>
      <c r="B193" s="10"/>
      <c r="C193" s="11"/>
      <c r="D193" s="12"/>
      <c r="E193" s="13"/>
      <c r="F193" s="12"/>
      <c r="G193" s="14"/>
    </row>
    <row r="194" spans="1:7" x14ac:dyDescent="0.2">
      <c r="A194" s="9"/>
      <c r="B194" s="10"/>
      <c r="C194" s="11"/>
      <c r="D194" s="12"/>
      <c r="E194" s="13"/>
      <c r="F194" s="12"/>
      <c r="G194" s="14"/>
    </row>
    <row r="195" spans="1:7" x14ac:dyDescent="0.2">
      <c r="A195" s="9"/>
      <c r="B195" s="10"/>
      <c r="C195" s="11"/>
      <c r="D195" s="12"/>
      <c r="E195" s="13"/>
      <c r="F195" s="12"/>
      <c r="G195" s="14"/>
    </row>
    <row r="196" spans="1:7" x14ac:dyDescent="0.2">
      <c r="A196" s="9"/>
      <c r="B196" s="10"/>
      <c r="C196" s="11"/>
      <c r="D196" s="12"/>
      <c r="E196" s="13"/>
      <c r="F196" s="12"/>
      <c r="G196" s="14"/>
    </row>
    <row r="197" spans="1:7" x14ac:dyDescent="0.2">
      <c r="A197" s="9"/>
      <c r="B197" s="10"/>
      <c r="C197" s="11"/>
      <c r="D197" s="12"/>
      <c r="E197" s="13"/>
      <c r="F197" s="12"/>
      <c r="G197" s="14"/>
    </row>
    <row r="198" spans="1:7" x14ac:dyDescent="0.2">
      <c r="A198" s="9"/>
      <c r="B198" s="10"/>
      <c r="C198" s="11"/>
      <c r="D198" s="12"/>
      <c r="E198" s="13"/>
      <c r="F198" s="12"/>
      <c r="G198" s="14"/>
    </row>
    <row r="199" spans="1:7" x14ac:dyDescent="0.2">
      <c r="A199" s="9"/>
      <c r="B199" s="10"/>
      <c r="C199" s="11"/>
      <c r="D199" s="12"/>
      <c r="E199" s="13"/>
      <c r="F199" s="12"/>
      <c r="G199" s="14"/>
    </row>
    <row r="200" spans="1:7" x14ac:dyDescent="0.2">
      <c r="A200" s="9"/>
      <c r="B200" s="10"/>
      <c r="C200" s="11"/>
      <c r="D200" s="12"/>
      <c r="E200" s="13"/>
      <c r="F200" s="12"/>
      <c r="G200" s="14"/>
    </row>
    <row r="201" spans="1:7" x14ac:dyDescent="0.2">
      <c r="A201" s="9"/>
      <c r="B201" s="10"/>
      <c r="C201" s="11"/>
      <c r="D201" s="12"/>
      <c r="E201" s="13"/>
      <c r="F201" s="12"/>
      <c r="G201" s="14"/>
    </row>
    <row r="202" spans="1:7" x14ac:dyDescent="0.2">
      <c r="A202" s="9"/>
      <c r="B202" s="10"/>
      <c r="C202" s="11"/>
      <c r="D202" s="12"/>
      <c r="E202" s="13"/>
      <c r="F202" s="12"/>
      <c r="G202" s="14"/>
    </row>
    <row r="203" spans="1:7" x14ac:dyDescent="0.2">
      <c r="A203" s="9"/>
      <c r="B203" s="10"/>
      <c r="C203" s="11"/>
      <c r="D203" s="12"/>
      <c r="E203" s="13"/>
      <c r="F203" s="12"/>
      <c r="G203" s="14"/>
    </row>
    <row r="204" spans="1:7" x14ac:dyDescent="0.2">
      <c r="A204" s="9"/>
      <c r="B204" s="10"/>
      <c r="C204" s="11"/>
      <c r="D204" s="12"/>
      <c r="E204" s="13"/>
      <c r="F204" s="12"/>
      <c r="G204" s="14"/>
    </row>
    <row r="205" spans="1:7" x14ac:dyDescent="0.2">
      <c r="A205" s="9"/>
      <c r="B205" s="10"/>
      <c r="C205" s="11"/>
      <c r="D205" s="12"/>
      <c r="E205" s="13"/>
      <c r="F205" s="12"/>
      <c r="G205" s="14"/>
    </row>
    <row r="206" spans="1:7" x14ac:dyDescent="0.2">
      <c r="A206" s="9"/>
      <c r="B206" s="10"/>
      <c r="C206" s="11"/>
      <c r="D206" s="12"/>
      <c r="E206" s="13"/>
      <c r="F206" s="12"/>
      <c r="G206" s="14"/>
    </row>
    <row r="207" spans="1:7" x14ac:dyDescent="0.2">
      <c r="A207" s="9"/>
      <c r="B207" s="10"/>
      <c r="C207" s="11"/>
      <c r="D207" s="12"/>
      <c r="E207" s="13"/>
      <c r="F207" s="12"/>
      <c r="G207" s="14"/>
    </row>
    <row r="208" spans="1:7" x14ac:dyDescent="0.2">
      <c r="A208" s="9"/>
      <c r="B208" s="10"/>
      <c r="C208" s="11"/>
      <c r="D208" s="12"/>
      <c r="E208" s="13"/>
      <c r="F208" s="12"/>
      <c r="G208" s="14"/>
    </row>
    <row r="209" spans="1:7" x14ac:dyDescent="0.2">
      <c r="A209" s="9"/>
      <c r="B209" s="10"/>
      <c r="C209" s="11"/>
      <c r="D209" s="12"/>
      <c r="E209" s="13"/>
      <c r="F209" s="12"/>
      <c r="G209" s="14"/>
    </row>
    <row r="210" spans="1:7" x14ac:dyDescent="0.2">
      <c r="A210" s="9"/>
      <c r="B210" s="10"/>
      <c r="C210" s="11"/>
      <c r="D210" s="12"/>
      <c r="E210" s="13"/>
      <c r="F210" s="12"/>
      <c r="G210" s="14"/>
    </row>
    <row r="211" spans="1:7" x14ac:dyDescent="0.2">
      <c r="A211" s="9"/>
      <c r="B211" s="10"/>
      <c r="C211" s="11"/>
      <c r="D211" s="12"/>
      <c r="E211" s="13"/>
      <c r="F211" s="12"/>
      <c r="G211" s="14"/>
    </row>
    <row r="212" spans="1:7" x14ac:dyDescent="0.2">
      <c r="A212" s="9"/>
      <c r="B212" s="10"/>
      <c r="C212" s="11"/>
      <c r="D212" s="12"/>
      <c r="E212" s="13"/>
      <c r="F212" s="12"/>
      <c r="G212" s="14"/>
    </row>
    <row r="213" spans="1:7" x14ac:dyDescent="0.2">
      <c r="A213" s="9"/>
      <c r="B213" s="10"/>
      <c r="C213" s="11"/>
      <c r="D213" s="12"/>
      <c r="E213" s="13"/>
      <c r="F213" s="12"/>
      <c r="G213" s="14"/>
    </row>
    <row r="214" spans="1:7" x14ac:dyDescent="0.2">
      <c r="A214" s="9"/>
      <c r="B214" s="10"/>
      <c r="C214" s="11"/>
      <c r="D214" s="12"/>
      <c r="E214" s="13"/>
      <c r="F214" s="12"/>
      <c r="G214" s="14"/>
    </row>
    <row r="215" spans="1:7" x14ac:dyDescent="0.2">
      <c r="A215" s="9"/>
      <c r="B215" s="10"/>
      <c r="C215" s="11"/>
      <c r="D215" s="12"/>
      <c r="E215" s="13"/>
      <c r="F215" s="12"/>
      <c r="G215" s="14"/>
    </row>
    <row r="216" spans="1:7" x14ac:dyDescent="0.2">
      <c r="A216" s="9"/>
      <c r="B216" s="10"/>
      <c r="C216" s="11"/>
      <c r="D216" s="12"/>
      <c r="E216" s="13"/>
      <c r="F216" s="12"/>
      <c r="G216" s="14"/>
    </row>
    <row r="217" spans="1:7" x14ac:dyDescent="0.2">
      <c r="A217" s="9"/>
      <c r="B217" s="10"/>
      <c r="C217" s="11"/>
      <c r="D217" s="12"/>
      <c r="E217" s="13"/>
      <c r="F217" s="12"/>
      <c r="G217" s="14"/>
    </row>
    <row r="218" spans="1:7" x14ac:dyDescent="0.2">
      <c r="A218" s="9"/>
      <c r="B218" s="10"/>
      <c r="C218" s="11"/>
      <c r="D218" s="12"/>
      <c r="E218" s="13"/>
      <c r="F218" s="12"/>
      <c r="G218" s="14"/>
    </row>
    <row r="219" spans="1:7" x14ac:dyDescent="0.2">
      <c r="A219" s="9"/>
      <c r="B219" s="10"/>
      <c r="C219" s="11"/>
      <c r="D219" s="12"/>
      <c r="E219" s="13"/>
      <c r="F219" s="12"/>
      <c r="G219" s="14"/>
    </row>
    <row r="220" spans="1:7" x14ac:dyDescent="0.2">
      <c r="A220" s="9"/>
      <c r="B220" s="10"/>
      <c r="C220" s="11"/>
      <c r="D220" s="12"/>
      <c r="E220" s="13"/>
      <c r="F220" s="12"/>
      <c r="G220" s="14"/>
    </row>
    <row r="221" spans="1:7" x14ac:dyDescent="0.2">
      <c r="A221" s="9"/>
      <c r="B221" s="10"/>
      <c r="C221" s="11"/>
      <c r="D221" s="12"/>
      <c r="E221" s="13"/>
      <c r="F221" s="12"/>
      <c r="G221" s="14"/>
    </row>
    <row r="222" spans="1:7" x14ac:dyDescent="0.2">
      <c r="A222" s="9"/>
      <c r="B222" s="10"/>
      <c r="C222" s="11"/>
      <c r="D222" s="12"/>
      <c r="E222" s="13"/>
      <c r="F222" s="12"/>
      <c r="G222" s="14"/>
    </row>
    <row r="223" spans="1:7" x14ac:dyDescent="0.2">
      <c r="A223" s="9"/>
      <c r="B223" s="10"/>
      <c r="C223" s="11"/>
      <c r="D223" s="12"/>
      <c r="E223" s="13"/>
      <c r="F223" s="12"/>
      <c r="G223" s="14"/>
    </row>
    <row r="224" spans="1:7" x14ac:dyDescent="0.2">
      <c r="A224" s="9"/>
      <c r="B224" s="10"/>
      <c r="C224" s="11"/>
      <c r="D224" s="12"/>
      <c r="E224" s="13"/>
      <c r="F224" s="12"/>
      <c r="G224" s="14"/>
    </row>
    <row r="225" spans="1:7" x14ac:dyDescent="0.2">
      <c r="A225" s="9"/>
      <c r="B225" s="10"/>
      <c r="C225" s="11"/>
      <c r="D225" s="12"/>
      <c r="E225" s="13"/>
      <c r="F225" s="12"/>
      <c r="G225" s="14"/>
    </row>
    <row r="226" spans="1:7" x14ac:dyDescent="0.2">
      <c r="A226" s="9"/>
      <c r="B226" s="10"/>
      <c r="C226" s="11"/>
      <c r="D226" s="12"/>
      <c r="E226" s="13"/>
      <c r="F226" s="12"/>
      <c r="G226" s="14"/>
    </row>
    <row r="227" spans="1:7" x14ac:dyDescent="0.2">
      <c r="A227" s="9"/>
      <c r="B227" s="10"/>
      <c r="C227" s="11"/>
      <c r="D227" s="12"/>
      <c r="E227" s="13"/>
      <c r="F227" s="12"/>
      <c r="G227" s="14"/>
    </row>
    <row r="228" spans="1:7" x14ac:dyDescent="0.2">
      <c r="A228" s="9"/>
      <c r="B228" s="10"/>
      <c r="C228" s="11"/>
      <c r="D228" s="12"/>
      <c r="E228" s="13"/>
      <c r="F228" s="12"/>
      <c r="G228" s="14"/>
    </row>
    <row r="229" spans="1:7" x14ac:dyDescent="0.2">
      <c r="A229" s="9"/>
      <c r="B229" s="10"/>
      <c r="C229" s="11"/>
      <c r="D229" s="12"/>
      <c r="E229" s="13"/>
      <c r="F229" s="12"/>
      <c r="G229" s="14"/>
    </row>
    <row r="230" spans="1:7" x14ac:dyDescent="0.2">
      <c r="A230" s="9"/>
      <c r="B230" s="10"/>
      <c r="C230" s="11"/>
      <c r="D230" s="12"/>
      <c r="E230" s="13"/>
      <c r="F230" s="12"/>
      <c r="G230" s="14"/>
    </row>
    <row r="231" spans="1:7" x14ac:dyDescent="0.2">
      <c r="A231" s="9"/>
      <c r="B231" s="10"/>
      <c r="C231" s="11"/>
      <c r="D231" s="12"/>
      <c r="E231" s="13"/>
      <c r="F231" s="12"/>
      <c r="G231" s="14"/>
    </row>
    <row r="232" spans="1:7" x14ac:dyDescent="0.2">
      <c r="A232" s="9"/>
      <c r="B232" s="10"/>
      <c r="C232" s="11"/>
      <c r="D232" s="12"/>
      <c r="E232" s="13"/>
      <c r="F232" s="12"/>
      <c r="G232" s="14"/>
    </row>
    <row r="233" spans="1:7" x14ac:dyDescent="0.2">
      <c r="A233" s="9"/>
      <c r="B233" s="10"/>
      <c r="C233" s="11"/>
      <c r="D233" s="12"/>
      <c r="E233" s="13"/>
      <c r="F233" s="12"/>
      <c r="G233" s="14"/>
    </row>
    <row r="234" spans="1:7" x14ac:dyDescent="0.2">
      <c r="A234" s="9"/>
      <c r="B234" s="10"/>
      <c r="C234" s="11"/>
      <c r="D234" s="12"/>
      <c r="E234" s="13"/>
      <c r="F234" s="12"/>
      <c r="G234" s="14"/>
    </row>
    <row r="235" spans="1:7" x14ac:dyDescent="0.2">
      <c r="A235" s="9"/>
      <c r="B235" s="10"/>
      <c r="C235" s="11"/>
      <c r="D235" s="12"/>
      <c r="E235" s="13"/>
      <c r="F235" s="12"/>
      <c r="G235" s="14"/>
    </row>
    <row r="236" spans="1:7" x14ac:dyDescent="0.2">
      <c r="A236" s="9"/>
      <c r="B236" s="10"/>
      <c r="C236" s="11"/>
      <c r="D236" s="12"/>
      <c r="E236" s="13"/>
      <c r="F236" s="12"/>
      <c r="G236" s="14"/>
    </row>
    <row r="237" spans="1:7" x14ac:dyDescent="0.2">
      <c r="A237" s="9"/>
      <c r="B237" s="10"/>
      <c r="C237" s="11"/>
      <c r="D237" s="12"/>
      <c r="E237" s="13"/>
      <c r="F237" s="12"/>
      <c r="G237" s="14"/>
    </row>
    <row r="238" spans="1:7" x14ac:dyDescent="0.2">
      <c r="A238" s="9"/>
      <c r="B238" s="10"/>
      <c r="C238" s="11"/>
      <c r="D238" s="12"/>
      <c r="E238" s="13"/>
      <c r="F238" s="12"/>
      <c r="G238" s="14"/>
    </row>
    <row r="239" spans="1:7" x14ac:dyDescent="0.2">
      <c r="A239" s="9"/>
      <c r="B239" s="10"/>
      <c r="C239" s="11"/>
      <c r="D239" s="12"/>
      <c r="E239" s="13"/>
      <c r="F239" s="12"/>
      <c r="G239" s="14"/>
    </row>
    <row r="240" spans="1:7" x14ac:dyDescent="0.2">
      <c r="A240" s="9"/>
      <c r="B240" s="10"/>
      <c r="C240" s="11"/>
      <c r="D240" s="12"/>
      <c r="E240" s="13"/>
      <c r="F240" s="12"/>
      <c r="G240" s="14"/>
    </row>
    <row r="241" spans="1:7" x14ac:dyDescent="0.2">
      <c r="A241" s="9"/>
      <c r="B241" s="10"/>
      <c r="C241" s="11"/>
      <c r="D241" s="12"/>
      <c r="E241" s="13"/>
      <c r="F241" s="12"/>
      <c r="G241" s="14"/>
    </row>
    <row r="242" spans="1:7" x14ac:dyDescent="0.2">
      <c r="A242" s="9"/>
      <c r="B242" s="10"/>
      <c r="C242" s="11"/>
      <c r="D242" s="12"/>
      <c r="E242" s="13"/>
      <c r="F242" s="12"/>
      <c r="G242" s="14"/>
    </row>
    <row r="243" spans="1:7" x14ac:dyDescent="0.2">
      <c r="A243" s="9"/>
      <c r="B243" s="10"/>
      <c r="C243" s="11"/>
      <c r="D243" s="12"/>
      <c r="E243" s="13"/>
      <c r="F243" s="12"/>
      <c r="G243" s="14"/>
    </row>
    <row r="244" spans="1:7" x14ac:dyDescent="0.2">
      <c r="A244" s="9"/>
      <c r="B244" s="10"/>
      <c r="C244" s="11"/>
      <c r="D244" s="12"/>
      <c r="E244" s="13"/>
      <c r="F244" s="12"/>
      <c r="G244" s="14"/>
    </row>
    <row r="245" spans="1:7" x14ac:dyDescent="0.2">
      <c r="A245" s="9"/>
      <c r="B245" s="10"/>
      <c r="C245" s="11"/>
      <c r="D245" s="12"/>
      <c r="E245" s="13"/>
      <c r="F245" s="12"/>
      <c r="G245" s="14"/>
    </row>
    <row r="246" spans="1:7" x14ac:dyDescent="0.2">
      <c r="A246" s="9"/>
      <c r="B246" s="10"/>
      <c r="C246" s="11"/>
      <c r="D246" s="12"/>
      <c r="E246" s="13"/>
      <c r="F246" s="12"/>
      <c r="G246" s="14"/>
    </row>
    <row r="247" spans="1:7" x14ac:dyDescent="0.2">
      <c r="A247" s="9"/>
      <c r="B247" s="10"/>
      <c r="C247" s="11"/>
      <c r="D247" s="12"/>
      <c r="E247" s="13"/>
      <c r="F247" s="12"/>
      <c r="G247" s="14"/>
    </row>
    <row r="248" spans="1:7" x14ac:dyDescent="0.2">
      <c r="A248" s="9"/>
      <c r="B248" s="10"/>
      <c r="C248" s="11"/>
      <c r="D248" s="12"/>
      <c r="E248" s="13"/>
      <c r="F248" s="12"/>
      <c r="G248" s="14"/>
    </row>
    <row r="249" spans="1:7" x14ac:dyDescent="0.2">
      <c r="A249" s="9"/>
      <c r="B249" s="10"/>
      <c r="C249" s="11"/>
      <c r="D249" s="12"/>
      <c r="E249" s="13"/>
      <c r="F249" s="12"/>
      <c r="G249" s="14"/>
    </row>
    <row r="250" spans="1:7" x14ac:dyDescent="0.2">
      <c r="A250" s="9"/>
      <c r="B250" s="10"/>
      <c r="C250" s="11"/>
      <c r="D250" s="12"/>
      <c r="E250" s="13"/>
      <c r="F250" s="12"/>
      <c r="G250" s="14"/>
    </row>
    <row r="251" spans="1:7" x14ac:dyDescent="0.2">
      <c r="A251" s="9"/>
      <c r="B251" s="10"/>
      <c r="C251" s="11"/>
      <c r="D251" s="12"/>
      <c r="E251" s="13"/>
      <c r="F251" s="12"/>
      <c r="G251" s="14"/>
    </row>
    <row r="252" spans="1:7" x14ac:dyDescent="0.2">
      <c r="A252" s="9"/>
      <c r="B252" s="10"/>
      <c r="C252" s="11"/>
      <c r="D252" s="12"/>
      <c r="E252" s="13"/>
      <c r="F252" s="12"/>
      <c r="G252" s="14"/>
    </row>
    <row r="253" spans="1:7" x14ac:dyDescent="0.2">
      <c r="A253" s="9"/>
      <c r="B253" s="10"/>
      <c r="C253" s="11"/>
      <c r="D253" s="12"/>
      <c r="E253" s="13"/>
      <c r="F253" s="12"/>
      <c r="G253" s="14"/>
    </row>
    <row r="254" spans="1:7" x14ac:dyDescent="0.2">
      <c r="A254" s="9"/>
      <c r="B254" s="10"/>
      <c r="C254" s="11"/>
      <c r="D254" s="12"/>
      <c r="E254" s="13"/>
      <c r="F254" s="12"/>
      <c r="G254" s="14"/>
    </row>
    <row r="255" spans="1:7" x14ac:dyDescent="0.2">
      <c r="A255" s="9"/>
      <c r="B255" s="10"/>
      <c r="C255" s="11"/>
      <c r="D255" s="12"/>
      <c r="E255" s="13"/>
      <c r="F255" s="12"/>
      <c r="G255" s="14"/>
    </row>
    <row r="256" spans="1:7" x14ac:dyDescent="0.2">
      <c r="A256" s="9"/>
      <c r="B256" s="10"/>
      <c r="C256" s="11"/>
      <c r="D256" s="12"/>
      <c r="E256" s="13"/>
      <c r="F256" s="12"/>
      <c r="G256" s="14"/>
    </row>
    <row r="257" spans="1:7" x14ac:dyDescent="0.2">
      <c r="A257" s="9"/>
      <c r="B257" s="10"/>
      <c r="C257" s="11"/>
      <c r="D257" s="12"/>
      <c r="E257" s="13"/>
      <c r="F257" s="12"/>
      <c r="G257" s="14"/>
    </row>
    <row r="258" spans="1:7" x14ac:dyDescent="0.2">
      <c r="A258" s="9"/>
      <c r="B258" s="10"/>
      <c r="C258" s="11"/>
      <c r="D258" s="12"/>
      <c r="E258" s="13"/>
      <c r="F258" s="12"/>
      <c r="G258" s="14"/>
    </row>
    <row r="259" spans="1:7" x14ac:dyDescent="0.2">
      <c r="A259" s="9"/>
      <c r="B259" s="10"/>
      <c r="C259" s="11"/>
      <c r="D259" s="12"/>
      <c r="E259" s="13"/>
      <c r="F259" s="12"/>
      <c r="G259" s="14"/>
    </row>
    <row r="260" spans="1:7" x14ac:dyDescent="0.2">
      <c r="A260" s="9"/>
      <c r="B260" s="10"/>
      <c r="C260" s="11"/>
      <c r="D260" s="12"/>
      <c r="E260" s="13"/>
      <c r="F260" s="12"/>
      <c r="G260" s="14"/>
    </row>
    <row r="261" spans="1:7" x14ac:dyDescent="0.2">
      <c r="A261" s="9"/>
      <c r="B261" s="10"/>
      <c r="C261" s="11"/>
      <c r="D261" s="12"/>
      <c r="E261" s="13"/>
      <c r="F261" s="12"/>
      <c r="G261" s="14"/>
    </row>
    <row r="262" spans="1:7" ht="13.5" thickBot="1" x14ac:dyDescent="0.25">
      <c r="A262" s="15"/>
      <c r="B262" s="16"/>
      <c r="C262" s="17"/>
      <c r="D262" s="18"/>
      <c r="E262" s="19"/>
      <c r="F262" s="18"/>
      <c r="G262" s="20"/>
    </row>
    <row r="263" spans="1:7" x14ac:dyDescent="0.2">
      <c r="A263" s="1"/>
      <c r="B263" s="1"/>
      <c r="C263" s="1"/>
      <c r="D263" s="1"/>
      <c r="E263" s="1"/>
      <c r="F263" s="1"/>
      <c r="G263" s="1"/>
    </row>
    <row r="264" spans="1:7" x14ac:dyDescent="0.2">
      <c r="A264" s="1"/>
      <c r="B264" s="1"/>
      <c r="C264" s="1"/>
      <c r="D264" s="1"/>
      <c r="E264" s="1"/>
      <c r="F264" s="1"/>
      <c r="G264" s="1"/>
    </row>
    <row r="265" spans="1:7" x14ac:dyDescent="0.2">
      <c r="A265" s="1"/>
      <c r="B265" s="1"/>
      <c r="C265" s="1"/>
      <c r="D265" s="1"/>
      <c r="E265" s="1"/>
      <c r="F265" s="1"/>
      <c r="G265" s="1"/>
    </row>
    <row r="266" spans="1:7" x14ac:dyDescent="0.2">
      <c r="A266" s="1"/>
      <c r="B266" s="1"/>
      <c r="C266" s="1"/>
      <c r="D266" s="1"/>
      <c r="E266" s="1"/>
      <c r="F266" s="1"/>
      <c r="G266" s="1"/>
    </row>
    <row r="267" spans="1:7" x14ac:dyDescent="0.2">
      <c r="A267" s="21"/>
      <c r="B267" s="21"/>
      <c r="C267" s="21"/>
      <c r="D267" s="21"/>
      <c r="E267" s="21"/>
      <c r="F267" s="21"/>
      <c r="G267" s="21"/>
    </row>
    <row r="268" spans="1:7" x14ac:dyDescent="0.2">
      <c r="A268" s="21"/>
      <c r="B268" s="21"/>
      <c r="C268" s="21"/>
      <c r="D268" s="21"/>
      <c r="E268" s="21"/>
      <c r="F268" s="21"/>
      <c r="G268" s="21"/>
    </row>
    <row r="269" spans="1:7" x14ac:dyDescent="0.2">
      <c r="A269" s="21"/>
      <c r="B269" s="21"/>
      <c r="C269" s="21"/>
      <c r="D269" s="21"/>
      <c r="E269" s="21"/>
      <c r="F269" s="21"/>
      <c r="G269" s="21"/>
    </row>
    <row r="270" spans="1:7" x14ac:dyDescent="0.2">
      <c r="A270" s="21"/>
      <c r="B270" s="21"/>
      <c r="C270" s="21"/>
      <c r="D270" s="21"/>
      <c r="E270" s="21"/>
      <c r="F270" s="21"/>
      <c r="G270" s="21"/>
    </row>
    <row r="271" spans="1:7" x14ac:dyDescent="0.2">
      <c r="A271" s="21"/>
      <c r="B271" s="21"/>
      <c r="C271" s="21"/>
      <c r="D271" s="21"/>
      <c r="E271" s="21"/>
      <c r="F271" s="21"/>
      <c r="G271" s="21"/>
    </row>
  </sheetData>
  <mergeCells count="1">
    <mergeCell ref="A1:G1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N271"/>
  <sheetViews>
    <sheetView topLeftCell="A8" workbookViewId="0">
      <selection activeCell="E51" sqref="E51"/>
    </sheetView>
  </sheetViews>
  <sheetFormatPr baseColWidth="10" defaultRowHeight="12.75" x14ac:dyDescent="0.2"/>
  <cols>
    <col min="2" max="2" width="14.42578125" customWidth="1"/>
    <col min="3" max="3" width="24" bestFit="1" customWidth="1"/>
    <col min="4" max="4" width="8.28515625" bestFit="1" customWidth="1"/>
    <col min="5" max="5" width="16.7109375" bestFit="1" customWidth="1"/>
    <col min="6" max="6" width="16.7109375" customWidth="1"/>
    <col min="7" max="7" width="15.28515625" customWidth="1"/>
    <col min="9" max="14" width="11.42578125" style="21"/>
  </cols>
  <sheetData>
    <row r="1" spans="1:8" customFormat="1" ht="15.75" x14ac:dyDescent="0.25">
      <c r="A1" s="65" t="s">
        <v>162</v>
      </c>
      <c r="B1" s="66"/>
      <c r="C1" s="66"/>
      <c r="D1" s="66"/>
      <c r="E1" s="66"/>
      <c r="F1" s="66"/>
      <c r="G1" s="66"/>
      <c r="H1" s="1"/>
    </row>
    <row r="2" spans="1:8" customFormat="1" ht="13.5" thickBot="1" x14ac:dyDescent="0.25">
      <c r="A2" s="1"/>
      <c r="B2" s="1"/>
      <c r="C2" s="1"/>
      <c r="D2" s="1"/>
      <c r="E2" s="1"/>
      <c r="F2" s="1"/>
      <c r="G2" s="1"/>
      <c r="H2" s="1"/>
    </row>
    <row r="3" spans="1:8" customFormat="1" ht="13.5" thickBot="1" x14ac:dyDescent="0.25">
      <c r="A3" s="2" t="s">
        <v>1</v>
      </c>
      <c r="B3" s="3" t="s">
        <v>2</v>
      </c>
      <c r="C3" s="4" t="s">
        <v>3</v>
      </c>
      <c r="D3" s="5" t="s">
        <v>4</v>
      </c>
      <c r="E3" s="6" t="s">
        <v>5</v>
      </c>
      <c r="F3" s="5" t="s">
        <v>6</v>
      </c>
      <c r="G3" s="7" t="s">
        <v>7</v>
      </c>
      <c r="H3" s="1"/>
    </row>
    <row r="4" spans="1:8" customFormat="1" x14ac:dyDescent="0.2">
      <c r="A4" s="42"/>
      <c r="B4" s="55" t="s">
        <v>64</v>
      </c>
      <c r="C4" s="50">
        <v>4</v>
      </c>
      <c r="D4" s="57">
        <v>155.5</v>
      </c>
      <c r="E4" s="60">
        <v>8.3548804137039426E-2</v>
      </c>
      <c r="F4" s="57">
        <v>13.404</v>
      </c>
      <c r="G4" s="58" t="s">
        <v>65</v>
      </c>
      <c r="H4" s="1"/>
    </row>
    <row r="5" spans="1:8" customFormat="1" x14ac:dyDescent="0.2">
      <c r="A5" s="44"/>
      <c r="B5" s="52" t="s">
        <v>66</v>
      </c>
      <c r="C5" s="54">
        <v>16</v>
      </c>
      <c r="D5" s="56">
        <v>1078.75</v>
      </c>
      <c r="E5" s="61">
        <v>0.38194893341952163</v>
      </c>
      <c r="F5" s="56">
        <v>163.29700000000003</v>
      </c>
      <c r="G5" s="59" t="s">
        <v>65</v>
      </c>
      <c r="H5" s="1"/>
    </row>
    <row r="6" spans="1:8" customFormat="1" x14ac:dyDescent="0.2">
      <c r="A6" s="44"/>
      <c r="B6" s="52" t="s">
        <v>67</v>
      </c>
      <c r="C6" s="54">
        <v>16</v>
      </c>
      <c r="D6" s="56">
        <v>1774.4479166666667</v>
      </c>
      <c r="E6" s="61">
        <v>0.60680281728075847</v>
      </c>
      <c r="F6" s="56">
        <v>85.048000000000002</v>
      </c>
      <c r="G6" s="59" t="s">
        <v>65</v>
      </c>
      <c r="H6" s="1"/>
    </row>
    <row r="7" spans="1:8" customFormat="1" x14ac:dyDescent="0.2">
      <c r="A7" s="44"/>
      <c r="B7" s="52" t="s">
        <v>68</v>
      </c>
      <c r="C7" s="54">
        <v>16</v>
      </c>
      <c r="D7" s="56">
        <v>1664.6163194444446</v>
      </c>
      <c r="E7" s="61">
        <v>0.57130456349206349</v>
      </c>
      <c r="F7" s="56">
        <v>44.166000000000004</v>
      </c>
      <c r="G7" s="59" t="s">
        <v>65</v>
      </c>
      <c r="H7" s="1"/>
    </row>
    <row r="8" spans="1:8" customFormat="1" x14ac:dyDescent="0.2">
      <c r="A8" s="44"/>
      <c r="B8" s="52" t="s">
        <v>69</v>
      </c>
      <c r="C8" s="54">
        <v>5</v>
      </c>
      <c r="D8" s="56">
        <v>179.41666666666666</v>
      </c>
      <c r="E8" s="61">
        <v>9.1278819219995672E-2</v>
      </c>
      <c r="F8" s="56">
        <v>30.134</v>
      </c>
      <c r="G8" s="59" t="s">
        <v>65</v>
      </c>
      <c r="H8" s="1"/>
    </row>
    <row r="9" spans="1:8" customFormat="1" x14ac:dyDescent="0.2">
      <c r="A9" s="44"/>
      <c r="B9" s="52" t="s">
        <v>70</v>
      </c>
      <c r="C9" s="54">
        <v>16</v>
      </c>
      <c r="D9" s="56">
        <v>696.25</v>
      </c>
      <c r="E9" s="61">
        <v>0.25832255979314805</v>
      </c>
      <c r="F9" s="56">
        <v>186.14699999999996</v>
      </c>
      <c r="G9" s="59" t="s">
        <v>65</v>
      </c>
      <c r="H9" s="1"/>
    </row>
    <row r="10" spans="1:8" customFormat="1" x14ac:dyDescent="0.2">
      <c r="A10" s="44"/>
      <c r="B10" s="52" t="s">
        <v>71</v>
      </c>
      <c r="C10" s="54">
        <v>16</v>
      </c>
      <c r="D10" s="56">
        <v>1543.0572916666665</v>
      </c>
      <c r="E10" s="61">
        <v>0.53201593137254899</v>
      </c>
      <c r="F10" s="56">
        <v>148.02300000000002</v>
      </c>
      <c r="G10" s="59" t="s">
        <v>65</v>
      </c>
      <c r="H10" s="1"/>
    </row>
    <row r="11" spans="1:8" customFormat="1" x14ac:dyDescent="0.2">
      <c r="A11" s="44"/>
      <c r="B11" s="52" t="s">
        <v>72</v>
      </c>
      <c r="C11" s="54">
        <v>16</v>
      </c>
      <c r="D11" s="56">
        <v>1605.7934027777778</v>
      </c>
      <c r="E11" s="61">
        <v>0.55229263179630828</v>
      </c>
      <c r="F11" s="56">
        <v>132.97499999999999</v>
      </c>
      <c r="G11" s="59" t="s">
        <v>65</v>
      </c>
      <c r="H11" s="1"/>
    </row>
    <row r="12" spans="1:8" customFormat="1" x14ac:dyDescent="0.2">
      <c r="A12" s="44"/>
      <c r="B12" s="52" t="s">
        <v>73</v>
      </c>
      <c r="C12" s="54">
        <v>16</v>
      </c>
      <c r="D12" s="56">
        <v>1499.7333333333333</v>
      </c>
      <c r="E12" s="61">
        <v>0.51801335918982983</v>
      </c>
      <c r="F12" s="56">
        <v>208.27499999999998</v>
      </c>
      <c r="G12" s="59" t="s">
        <v>65</v>
      </c>
      <c r="H12" s="1"/>
    </row>
    <row r="13" spans="1:8" customFormat="1" x14ac:dyDescent="0.2">
      <c r="A13" s="44"/>
      <c r="B13" s="52" t="s">
        <v>74</v>
      </c>
      <c r="C13" s="54">
        <v>16</v>
      </c>
      <c r="D13" s="56">
        <v>1559.4791666666663</v>
      </c>
      <c r="E13" s="61">
        <v>0.5373235832794655</v>
      </c>
      <c r="F13" s="56">
        <v>73.873000000000005</v>
      </c>
      <c r="G13" s="59" t="s">
        <v>65</v>
      </c>
      <c r="H13" s="1"/>
    </row>
    <row r="14" spans="1:8" customFormat="1" x14ac:dyDescent="0.2">
      <c r="A14" s="44"/>
      <c r="B14" s="52" t="s">
        <v>75</v>
      </c>
      <c r="C14" s="54">
        <v>16</v>
      </c>
      <c r="D14" s="56">
        <v>2029.0208333333333</v>
      </c>
      <c r="E14" s="61">
        <v>0.68908236371471654</v>
      </c>
      <c r="F14" s="56">
        <v>129.76199999999997</v>
      </c>
      <c r="G14" s="59" t="s">
        <v>65</v>
      </c>
      <c r="H14" s="1"/>
    </row>
    <row r="15" spans="1:8" customFormat="1" x14ac:dyDescent="0.2">
      <c r="A15" s="44"/>
      <c r="B15" s="52" t="s">
        <v>76</v>
      </c>
      <c r="C15" s="54">
        <v>16</v>
      </c>
      <c r="D15" s="56">
        <v>1456.8333333333333</v>
      </c>
      <c r="E15" s="61">
        <v>0.50414781297134237</v>
      </c>
      <c r="F15" s="56">
        <v>72.597999999999999</v>
      </c>
      <c r="G15" s="59" t="s">
        <v>65</v>
      </c>
      <c r="H15" s="1"/>
    </row>
    <row r="16" spans="1:8" customFormat="1" x14ac:dyDescent="0.2">
      <c r="A16" s="44"/>
      <c r="B16" s="52" t="s">
        <v>77</v>
      </c>
      <c r="C16" s="54">
        <v>1</v>
      </c>
      <c r="D16" s="56">
        <v>46</v>
      </c>
      <c r="E16" s="61">
        <v>4.8157724628312866E-2</v>
      </c>
      <c r="F16" s="56">
        <v>8.2479999999999993</v>
      </c>
      <c r="G16" s="59" t="s">
        <v>65</v>
      </c>
      <c r="H16" s="1"/>
    </row>
    <row r="17" spans="1:8" customFormat="1" x14ac:dyDescent="0.2">
      <c r="A17" s="44"/>
      <c r="B17" s="52" t="s">
        <v>78</v>
      </c>
      <c r="C17" s="54">
        <v>16</v>
      </c>
      <c r="D17" s="56">
        <v>1312.75</v>
      </c>
      <c r="E17" s="61">
        <v>0.45757918552036198</v>
      </c>
      <c r="F17" s="56">
        <v>445.952</v>
      </c>
      <c r="G17" s="59" t="s">
        <v>65</v>
      </c>
      <c r="H17" s="1"/>
    </row>
    <row r="18" spans="1:8" customFormat="1" x14ac:dyDescent="0.2">
      <c r="A18" s="44"/>
      <c r="B18" s="52" t="s">
        <v>79</v>
      </c>
      <c r="C18" s="54">
        <v>16</v>
      </c>
      <c r="D18" s="56">
        <v>1099.75</v>
      </c>
      <c r="E18" s="61">
        <v>0.38873626373626374</v>
      </c>
      <c r="F18" s="56">
        <v>24.288</v>
      </c>
      <c r="G18" s="59" t="s">
        <v>65</v>
      </c>
      <c r="H18" s="1"/>
    </row>
    <row r="19" spans="1:8" customFormat="1" x14ac:dyDescent="0.2">
      <c r="A19" s="44"/>
      <c r="B19" s="52" t="s">
        <v>80</v>
      </c>
      <c r="C19" s="54">
        <v>4</v>
      </c>
      <c r="D19" s="56">
        <v>211</v>
      </c>
      <c r="E19" s="61">
        <v>0.10148674854557208</v>
      </c>
      <c r="F19" s="56">
        <v>43.813000000000002</v>
      </c>
      <c r="G19" s="59" t="s">
        <v>65</v>
      </c>
      <c r="H19" s="1"/>
    </row>
    <row r="20" spans="1:8" customFormat="1" x14ac:dyDescent="0.2">
      <c r="A20" s="44"/>
      <c r="B20" s="52" t="s">
        <v>81</v>
      </c>
      <c r="C20" s="54">
        <v>16</v>
      </c>
      <c r="D20" s="56">
        <v>1926.0972222222222</v>
      </c>
      <c r="E20" s="61">
        <v>0.6558168139050492</v>
      </c>
      <c r="F20" s="56">
        <v>37.769999999999996</v>
      </c>
      <c r="G20" s="59" t="s">
        <v>65</v>
      </c>
      <c r="H20" s="1"/>
    </row>
    <row r="21" spans="1:8" customFormat="1" x14ac:dyDescent="0.2">
      <c r="A21" s="44"/>
      <c r="B21" s="52" t="s">
        <v>82</v>
      </c>
      <c r="C21" s="54">
        <v>4</v>
      </c>
      <c r="D21" s="56">
        <v>223.75</v>
      </c>
      <c r="E21" s="61">
        <v>0.1056076276664512</v>
      </c>
      <c r="F21" s="56">
        <v>20.513000000000002</v>
      </c>
      <c r="G21" s="59" t="s">
        <v>65</v>
      </c>
      <c r="H21" s="1"/>
    </row>
    <row r="22" spans="1:8" customFormat="1" x14ac:dyDescent="0.2">
      <c r="A22" s="44"/>
      <c r="B22" s="52" t="s">
        <v>83</v>
      </c>
      <c r="C22" s="54">
        <v>16</v>
      </c>
      <c r="D22" s="56">
        <v>1356.6763888888888</v>
      </c>
      <c r="E22" s="61">
        <v>0.47177646699705522</v>
      </c>
      <c r="F22" s="56">
        <v>227.65700000000004</v>
      </c>
      <c r="G22" s="59" t="s">
        <v>65</v>
      </c>
      <c r="H22" s="1"/>
    </row>
    <row r="23" spans="1:8" customFormat="1" x14ac:dyDescent="0.2">
      <c r="A23" s="44"/>
      <c r="B23" s="52" t="s">
        <v>84</v>
      </c>
      <c r="C23" s="54">
        <v>5</v>
      </c>
      <c r="D23" s="56">
        <v>235</v>
      </c>
      <c r="E23" s="61">
        <v>0.1092436974789916</v>
      </c>
      <c r="F23" s="56">
        <v>77.197000000000003</v>
      </c>
      <c r="G23" s="59" t="s">
        <v>65</v>
      </c>
      <c r="H23" s="1"/>
    </row>
    <row r="24" spans="1:8" customFormat="1" x14ac:dyDescent="0.2">
      <c r="A24" s="44"/>
      <c r="B24" s="52" t="s">
        <v>85</v>
      </c>
      <c r="C24" s="54">
        <v>16</v>
      </c>
      <c r="D24" s="56">
        <v>1447.95</v>
      </c>
      <c r="E24" s="61">
        <v>0.50127666451195863</v>
      </c>
      <c r="F24" s="56">
        <v>215.21300000000002</v>
      </c>
      <c r="G24" s="59" t="s">
        <v>65</v>
      </c>
      <c r="H24" s="1"/>
    </row>
    <row r="25" spans="1:8" customFormat="1" x14ac:dyDescent="0.2">
      <c r="A25" s="44"/>
      <c r="B25" s="52" t="s">
        <v>86</v>
      </c>
      <c r="C25" s="54">
        <v>16</v>
      </c>
      <c r="D25" s="56">
        <v>1090.2638888888889</v>
      </c>
      <c r="E25" s="61">
        <v>0.38567029375852907</v>
      </c>
      <c r="F25" s="56">
        <v>157.64400000000003</v>
      </c>
      <c r="G25" s="59" t="s">
        <v>65</v>
      </c>
      <c r="H25" s="1"/>
    </row>
    <row r="26" spans="1:8" customFormat="1" x14ac:dyDescent="0.2">
      <c r="A26" s="44"/>
      <c r="B26" s="52" t="s">
        <v>87</v>
      </c>
      <c r="C26" s="54">
        <v>16</v>
      </c>
      <c r="D26" s="56">
        <v>953.5</v>
      </c>
      <c r="E26" s="61">
        <v>0.34146735617323853</v>
      </c>
      <c r="F26" s="56">
        <v>389.35599999999999</v>
      </c>
      <c r="G26" s="59" t="s">
        <v>65</v>
      </c>
      <c r="H26" s="1"/>
    </row>
    <row r="27" spans="1:8" customFormat="1" x14ac:dyDescent="0.2">
      <c r="A27" s="44"/>
      <c r="B27" s="52" t="s">
        <v>88</v>
      </c>
      <c r="C27" s="54">
        <v>16</v>
      </c>
      <c r="D27" s="56">
        <v>1246.0138888888889</v>
      </c>
      <c r="E27" s="61">
        <v>0.43600966027436616</v>
      </c>
      <c r="F27" s="56">
        <v>192.79999999999998</v>
      </c>
      <c r="G27" s="59" t="s">
        <v>65</v>
      </c>
      <c r="H27" s="1"/>
    </row>
    <row r="28" spans="1:8" customFormat="1" x14ac:dyDescent="0.2">
      <c r="A28" s="44"/>
      <c r="B28" s="52" t="s">
        <v>89</v>
      </c>
      <c r="C28" s="54">
        <v>1</v>
      </c>
      <c r="D28" s="56">
        <v>46</v>
      </c>
      <c r="E28" s="61">
        <v>4.8157724628312866E-2</v>
      </c>
      <c r="F28" s="56">
        <v>10.59</v>
      </c>
      <c r="G28" s="59" t="s">
        <v>65</v>
      </c>
      <c r="H28" s="1"/>
    </row>
    <row r="29" spans="1:8" customFormat="1" x14ac:dyDescent="0.2">
      <c r="A29" s="44"/>
      <c r="B29" s="52" t="s">
        <v>90</v>
      </c>
      <c r="C29" s="54">
        <v>1</v>
      </c>
      <c r="D29" s="56">
        <v>69.5</v>
      </c>
      <c r="E29" s="61">
        <v>5.5753070458952815E-2</v>
      </c>
      <c r="F29" s="56">
        <v>16.535</v>
      </c>
      <c r="G29" s="59" t="s">
        <v>65</v>
      </c>
      <c r="H29" s="1"/>
    </row>
    <row r="30" spans="1:8" customFormat="1" x14ac:dyDescent="0.2">
      <c r="A30" s="44"/>
      <c r="B30" s="52" t="s">
        <v>91</v>
      </c>
      <c r="C30" s="54">
        <v>16</v>
      </c>
      <c r="D30" s="56">
        <v>1695.1666666666667</v>
      </c>
      <c r="E30" s="61">
        <v>0.5811786252962724</v>
      </c>
      <c r="F30" s="56">
        <v>71.171999999999983</v>
      </c>
      <c r="G30" s="59" t="s">
        <v>65</v>
      </c>
      <c r="H30" s="1"/>
    </row>
    <row r="31" spans="1:8" customFormat="1" x14ac:dyDescent="0.2">
      <c r="A31" s="44"/>
      <c r="B31" s="52" t="s">
        <v>177</v>
      </c>
      <c r="C31" s="54">
        <v>1</v>
      </c>
      <c r="D31" s="56">
        <v>69.5</v>
      </c>
      <c r="E31" s="61">
        <v>5.5753070458952815E-2</v>
      </c>
      <c r="F31" s="56">
        <v>2.2400000000000002</v>
      </c>
      <c r="G31" s="59" t="s">
        <v>65</v>
      </c>
      <c r="H31" s="1"/>
    </row>
    <row r="32" spans="1:8" customFormat="1" x14ac:dyDescent="0.2">
      <c r="A32" s="44"/>
      <c r="B32" s="52" t="s">
        <v>92</v>
      </c>
      <c r="C32" s="54">
        <v>16</v>
      </c>
      <c r="D32" s="56">
        <v>1245.7541666666666</v>
      </c>
      <c r="E32" s="61">
        <v>0.43592571644042233</v>
      </c>
      <c r="F32" s="56">
        <v>158.80600000000004</v>
      </c>
      <c r="G32" s="59" t="s">
        <v>65</v>
      </c>
      <c r="H32" s="1"/>
    </row>
    <row r="33" spans="1:8" customFormat="1" x14ac:dyDescent="0.2">
      <c r="A33" s="44"/>
      <c r="B33" s="52" t="s">
        <v>178</v>
      </c>
      <c r="C33" s="54">
        <v>16</v>
      </c>
      <c r="D33" s="56">
        <v>911.46666666666658</v>
      </c>
      <c r="E33" s="61">
        <v>0.327881921999569</v>
      </c>
      <c r="F33" s="56">
        <v>142.80799999999999</v>
      </c>
      <c r="G33" s="59" t="s">
        <v>65</v>
      </c>
      <c r="H33" s="1"/>
    </row>
    <row r="34" spans="1:8" customFormat="1" x14ac:dyDescent="0.2">
      <c r="A34" s="44"/>
      <c r="B34" s="52" t="s">
        <v>93</v>
      </c>
      <c r="C34" s="54">
        <v>16</v>
      </c>
      <c r="D34" s="56">
        <v>1302.9000000000001</v>
      </c>
      <c r="E34" s="61">
        <v>0.45439560439560445</v>
      </c>
      <c r="F34" s="56">
        <v>68.333999999999989</v>
      </c>
      <c r="G34" s="59" t="s">
        <v>65</v>
      </c>
      <c r="H34" s="1"/>
    </row>
    <row r="35" spans="1:8" customFormat="1" x14ac:dyDescent="0.2">
      <c r="A35" s="44"/>
      <c r="B35" s="52" t="s">
        <v>94</v>
      </c>
      <c r="C35" s="54">
        <v>1</v>
      </c>
      <c r="D35" s="56">
        <v>65.5</v>
      </c>
      <c r="E35" s="61">
        <v>5.4460245636716226E-2</v>
      </c>
      <c r="F35" s="56">
        <v>9.6300000000000008</v>
      </c>
      <c r="G35" s="59" t="s">
        <v>65</v>
      </c>
      <c r="H35" s="1"/>
    </row>
    <row r="36" spans="1:8" customFormat="1" x14ac:dyDescent="0.2">
      <c r="A36" s="44"/>
      <c r="B36" s="52" t="s">
        <v>95</v>
      </c>
      <c r="C36" s="54">
        <v>16</v>
      </c>
      <c r="D36" s="56">
        <v>1616.65625</v>
      </c>
      <c r="E36" s="61">
        <v>0.5558035714285714</v>
      </c>
      <c r="F36" s="56">
        <v>107.941</v>
      </c>
      <c r="G36" s="59" t="s">
        <v>65</v>
      </c>
      <c r="H36" s="1"/>
    </row>
    <row r="37" spans="1:8" customFormat="1" x14ac:dyDescent="0.2">
      <c r="A37" s="44"/>
      <c r="B37" s="52" t="s">
        <v>96</v>
      </c>
      <c r="C37" s="54">
        <v>16</v>
      </c>
      <c r="D37" s="56">
        <v>1366.4041666666667</v>
      </c>
      <c r="E37" s="61">
        <v>0.47492054514113341</v>
      </c>
      <c r="F37" s="56">
        <v>157.755</v>
      </c>
      <c r="G37" s="59" t="s">
        <v>65</v>
      </c>
      <c r="H37" s="1"/>
    </row>
    <row r="38" spans="1:8" customFormat="1" x14ac:dyDescent="0.2">
      <c r="A38" s="44"/>
      <c r="B38" s="52" t="s">
        <v>97</v>
      </c>
      <c r="C38" s="54">
        <v>16</v>
      </c>
      <c r="D38" s="56">
        <v>1420.2458333333332</v>
      </c>
      <c r="E38" s="61">
        <v>0.49232250592544707</v>
      </c>
      <c r="F38" s="56">
        <v>99.978000000000009</v>
      </c>
      <c r="G38" s="59" t="s">
        <v>65</v>
      </c>
      <c r="H38" s="1"/>
    </row>
    <row r="39" spans="1:8" customFormat="1" x14ac:dyDescent="0.2">
      <c r="A39" s="44"/>
      <c r="B39" s="52" t="s">
        <v>98</v>
      </c>
      <c r="C39" s="54">
        <v>16</v>
      </c>
      <c r="D39" s="56">
        <v>1519.0666666666668</v>
      </c>
      <c r="E39" s="61">
        <v>0.52426201249730664</v>
      </c>
      <c r="F39" s="56">
        <v>452.39600000000002</v>
      </c>
      <c r="G39" s="59" t="s">
        <v>65</v>
      </c>
      <c r="H39" s="1"/>
    </row>
    <row r="40" spans="1:8" customFormat="1" x14ac:dyDescent="0.2">
      <c r="A40" s="44"/>
      <c r="B40" s="52" t="s">
        <v>99</v>
      </c>
      <c r="C40" s="54">
        <v>16</v>
      </c>
      <c r="D40" s="56">
        <v>1443.7874999999997</v>
      </c>
      <c r="E40" s="61">
        <v>0.49993131868131857</v>
      </c>
      <c r="F40" s="56">
        <v>163.24199999999999</v>
      </c>
      <c r="G40" s="59" t="s">
        <v>65</v>
      </c>
      <c r="H40" s="1"/>
    </row>
    <row r="41" spans="1:8" customFormat="1" x14ac:dyDescent="0.2">
      <c r="A41" s="44"/>
      <c r="B41" s="52" t="s">
        <v>100</v>
      </c>
      <c r="C41" s="54">
        <v>16</v>
      </c>
      <c r="D41" s="56">
        <v>1594.1927083333335</v>
      </c>
      <c r="E41" s="61">
        <v>0.54854321536306838</v>
      </c>
      <c r="F41" s="56">
        <v>115.53699999999999</v>
      </c>
      <c r="G41" s="59" t="s">
        <v>65</v>
      </c>
      <c r="H41" s="1"/>
    </row>
    <row r="42" spans="1:8" customFormat="1" x14ac:dyDescent="0.2">
      <c r="A42" s="44"/>
      <c r="B42" s="52" t="s">
        <v>101</v>
      </c>
      <c r="C42" s="54">
        <v>16</v>
      </c>
      <c r="D42" s="56">
        <v>1196.5499999999997</v>
      </c>
      <c r="E42" s="61">
        <v>0.42002262443438904</v>
      </c>
      <c r="F42" s="56">
        <v>89.010999999999981</v>
      </c>
      <c r="G42" s="59" t="s">
        <v>65</v>
      </c>
      <c r="H42" s="1"/>
    </row>
    <row r="43" spans="1:8" customFormat="1" x14ac:dyDescent="0.2">
      <c r="A43" s="44"/>
      <c r="B43" s="52" t="s">
        <v>102</v>
      </c>
      <c r="C43" s="54">
        <v>1</v>
      </c>
      <c r="D43" s="56">
        <v>84</v>
      </c>
      <c r="E43" s="61">
        <v>6.043956043956044E-2</v>
      </c>
      <c r="F43" s="56">
        <v>28.669</v>
      </c>
      <c r="G43" s="59" t="s">
        <v>65</v>
      </c>
      <c r="H43" s="1"/>
    </row>
    <row r="44" spans="1:8" customFormat="1" x14ac:dyDescent="0.2">
      <c r="A44" s="44"/>
      <c r="B44" s="52" t="s">
        <v>103</v>
      </c>
      <c r="C44" s="54">
        <v>4</v>
      </c>
      <c r="D44" s="56">
        <v>185</v>
      </c>
      <c r="E44" s="61">
        <v>9.3083387201034262E-2</v>
      </c>
      <c r="F44" s="56">
        <v>35.942</v>
      </c>
      <c r="G44" s="59" t="s">
        <v>65</v>
      </c>
      <c r="H44" s="1"/>
    </row>
    <row r="45" spans="1:8" customFormat="1" x14ac:dyDescent="0.2">
      <c r="A45" s="44"/>
      <c r="B45" s="52" t="s">
        <v>179</v>
      </c>
      <c r="C45" s="54">
        <v>16</v>
      </c>
      <c r="D45" s="56">
        <v>1283.6958333333332</v>
      </c>
      <c r="E45" s="61">
        <v>0.44818869855634558</v>
      </c>
      <c r="F45" s="56">
        <v>88.462000000000018</v>
      </c>
      <c r="G45" s="59" t="s">
        <v>65</v>
      </c>
      <c r="H45" s="1"/>
    </row>
    <row r="46" spans="1:8" customFormat="1" x14ac:dyDescent="0.2">
      <c r="A46" s="44"/>
      <c r="B46" s="52" t="s">
        <v>104</v>
      </c>
      <c r="C46" s="54">
        <v>16</v>
      </c>
      <c r="D46" s="56">
        <v>1655.0364583333335</v>
      </c>
      <c r="E46" s="61">
        <v>0.5682082929325577</v>
      </c>
      <c r="F46" s="56">
        <v>112.566</v>
      </c>
      <c r="G46" s="59" t="s">
        <v>65</v>
      </c>
      <c r="H46" s="1"/>
    </row>
    <row r="47" spans="1:8" customFormat="1" x14ac:dyDescent="0.2">
      <c r="A47" s="44"/>
      <c r="B47" s="52" t="s">
        <v>105</v>
      </c>
      <c r="C47" s="54">
        <v>16</v>
      </c>
      <c r="D47" s="56">
        <v>1311.8999999999999</v>
      </c>
      <c r="E47" s="61">
        <v>0.45730446024563665</v>
      </c>
      <c r="F47" s="56">
        <v>216.99499999999998</v>
      </c>
      <c r="G47" s="59" t="s">
        <v>65</v>
      </c>
      <c r="H47" s="1"/>
    </row>
    <row r="48" spans="1:8" customFormat="1" x14ac:dyDescent="0.2">
      <c r="A48" s="44"/>
      <c r="B48" s="43"/>
      <c r="C48" s="45"/>
      <c r="D48" s="46"/>
      <c r="E48" s="48"/>
      <c r="F48" s="46"/>
      <c r="G48" s="47"/>
      <c r="H48" s="1"/>
    </row>
    <row r="49" spans="1:8" customFormat="1" x14ac:dyDescent="0.2">
      <c r="A49" s="9"/>
      <c r="B49" s="10"/>
      <c r="C49" s="11"/>
      <c r="D49" s="12"/>
      <c r="E49" s="13"/>
      <c r="F49" s="12"/>
      <c r="G49" s="14"/>
      <c r="H49" s="1"/>
    </row>
    <row r="50" spans="1:8" customFormat="1" x14ac:dyDescent="0.2">
      <c r="A50" s="9"/>
      <c r="B50" s="10"/>
      <c r="C50" s="11"/>
      <c r="D50" s="12"/>
      <c r="E50" s="13"/>
      <c r="F50" s="12"/>
      <c r="G50" s="14"/>
      <c r="H50" s="1"/>
    </row>
    <row r="51" spans="1:8" customFormat="1" x14ac:dyDescent="0.2">
      <c r="A51" s="9"/>
      <c r="B51" s="10"/>
      <c r="C51" s="11"/>
      <c r="D51" s="12"/>
      <c r="E51" s="13"/>
      <c r="F51" s="12"/>
      <c r="G51" s="14"/>
      <c r="H51" s="1"/>
    </row>
    <row r="52" spans="1:8" customFormat="1" x14ac:dyDescent="0.2">
      <c r="A52" s="9"/>
      <c r="B52" s="10"/>
      <c r="C52" s="11"/>
      <c r="D52" s="12"/>
      <c r="E52" s="13"/>
      <c r="F52" s="12"/>
      <c r="G52" s="14"/>
      <c r="H52" s="1"/>
    </row>
    <row r="53" spans="1:8" customFormat="1" x14ac:dyDescent="0.2">
      <c r="A53" s="9"/>
      <c r="B53" s="10"/>
      <c r="C53" s="11"/>
      <c r="D53" s="12"/>
      <c r="E53" s="13"/>
      <c r="F53" s="12"/>
      <c r="G53" s="14"/>
      <c r="H53" s="1"/>
    </row>
    <row r="54" spans="1:8" customFormat="1" x14ac:dyDescent="0.2">
      <c r="A54" s="9"/>
      <c r="B54" s="10"/>
      <c r="C54" s="11"/>
      <c r="D54" s="12"/>
      <c r="E54" s="13"/>
      <c r="F54" s="12"/>
      <c r="G54" s="14"/>
      <c r="H54" s="1"/>
    </row>
    <row r="55" spans="1:8" customFormat="1" x14ac:dyDescent="0.2">
      <c r="A55" s="9"/>
      <c r="B55" s="10"/>
      <c r="C55" s="11"/>
      <c r="D55" s="12"/>
      <c r="E55" s="13"/>
      <c r="F55" s="12"/>
      <c r="G55" s="14"/>
      <c r="H55" s="1"/>
    </row>
    <row r="56" spans="1:8" customFormat="1" x14ac:dyDescent="0.2">
      <c r="A56" s="9"/>
      <c r="B56" s="10"/>
      <c r="C56" s="11"/>
      <c r="D56" s="12"/>
      <c r="E56" s="13"/>
      <c r="F56" s="12"/>
      <c r="G56" s="14"/>
      <c r="H56" s="1"/>
    </row>
    <row r="57" spans="1:8" customFormat="1" x14ac:dyDescent="0.2">
      <c r="A57" s="9"/>
      <c r="B57" s="10"/>
      <c r="C57" s="11"/>
      <c r="D57" s="12"/>
      <c r="E57" s="13"/>
      <c r="F57" s="12"/>
      <c r="G57" s="14"/>
      <c r="H57" s="1"/>
    </row>
    <row r="58" spans="1:8" customFormat="1" x14ac:dyDescent="0.2">
      <c r="A58" s="9"/>
      <c r="B58" s="10"/>
      <c r="C58" s="11"/>
      <c r="D58" s="12"/>
      <c r="E58" s="13"/>
      <c r="F58" s="12"/>
      <c r="G58" s="14"/>
      <c r="H58" s="1"/>
    </row>
    <row r="59" spans="1:8" customFormat="1" x14ac:dyDescent="0.2">
      <c r="A59" s="9"/>
      <c r="B59" s="10"/>
      <c r="C59" s="11"/>
      <c r="D59" s="12"/>
      <c r="E59" s="13"/>
      <c r="F59" s="12"/>
      <c r="G59" s="14"/>
      <c r="H59" s="1"/>
    </row>
    <row r="60" spans="1:8" customFormat="1" x14ac:dyDescent="0.2">
      <c r="A60" s="9"/>
      <c r="B60" s="10"/>
      <c r="C60" s="11"/>
      <c r="D60" s="12"/>
      <c r="E60" s="13"/>
      <c r="F60" s="12"/>
      <c r="G60" s="14"/>
      <c r="H60" s="1"/>
    </row>
    <row r="61" spans="1:8" customFormat="1" x14ac:dyDescent="0.2">
      <c r="A61" s="9"/>
      <c r="B61" s="10"/>
      <c r="C61" s="11"/>
      <c r="D61" s="12"/>
      <c r="E61" s="13"/>
      <c r="F61" s="12"/>
      <c r="G61" s="14"/>
      <c r="H61" s="1"/>
    </row>
    <row r="62" spans="1:8" customFormat="1" x14ac:dyDescent="0.2">
      <c r="A62" s="9"/>
      <c r="B62" s="10"/>
      <c r="C62" s="11"/>
      <c r="D62" s="12"/>
      <c r="E62" s="13"/>
      <c r="F62" s="12"/>
      <c r="G62" s="14"/>
      <c r="H62" s="1"/>
    </row>
    <row r="63" spans="1:8" customFormat="1" x14ac:dyDescent="0.2">
      <c r="A63" s="9"/>
      <c r="B63" s="10"/>
      <c r="C63" s="11"/>
      <c r="D63" s="12"/>
      <c r="E63" s="13"/>
      <c r="F63" s="12"/>
      <c r="G63" s="14"/>
      <c r="H63" s="1"/>
    </row>
    <row r="64" spans="1:8" customFormat="1" x14ac:dyDescent="0.2">
      <c r="A64" s="9"/>
      <c r="B64" s="10"/>
      <c r="C64" s="11"/>
      <c r="D64" s="12"/>
      <c r="E64" s="13"/>
      <c r="F64" s="12"/>
      <c r="G64" s="14"/>
      <c r="H64" s="1"/>
    </row>
    <row r="65" spans="1:8" customFormat="1" x14ac:dyDescent="0.2">
      <c r="A65" s="9"/>
      <c r="B65" s="10"/>
      <c r="C65" s="11"/>
      <c r="D65" s="12"/>
      <c r="E65" s="13"/>
      <c r="F65" s="12"/>
      <c r="G65" s="14"/>
      <c r="H65" s="1"/>
    </row>
    <row r="66" spans="1:8" customFormat="1" x14ac:dyDescent="0.2">
      <c r="A66" s="9"/>
      <c r="B66" s="10"/>
      <c r="C66" s="11"/>
      <c r="D66" s="12"/>
      <c r="E66" s="13"/>
      <c r="F66" s="12"/>
      <c r="G66" s="14"/>
      <c r="H66" s="1"/>
    </row>
    <row r="67" spans="1:8" customFormat="1" x14ac:dyDescent="0.2">
      <c r="A67" s="9"/>
      <c r="B67" s="10"/>
      <c r="C67" s="11"/>
      <c r="D67" s="12"/>
      <c r="E67" s="13"/>
      <c r="F67" s="12"/>
      <c r="G67" s="14"/>
      <c r="H67" s="1"/>
    </row>
    <row r="68" spans="1:8" customFormat="1" x14ac:dyDescent="0.2">
      <c r="A68" s="9"/>
      <c r="B68" s="10"/>
      <c r="C68" s="11"/>
      <c r="D68" s="12"/>
      <c r="E68" s="13"/>
      <c r="F68" s="12"/>
      <c r="G68" s="14"/>
      <c r="H68" s="1"/>
    </row>
    <row r="69" spans="1:8" customFormat="1" x14ac:dyDescent="0.2">
      <c r="A69" s="9"/>
      <c r="B69" s="10"/>
      <c r="C69" s="11"/>
      <c r="D69" s="12"/>
      <c r="E69" s="13"/>
      <c r="F69" s="12"/>
      <c r="G69" s="14"/>
      <c r="H69" s="1"/>
    </row>
    <row r="70" spans="1:8" customFormat="1" x14ac:dyDescent="0.2">
      <c r="A70" s="9"/>
      <c r="B70" s="10"/>
      <c r="C70" s="11"/>
      <c r="D70" s="12"/>
      <c r="E70" s="13"/>
      <c r="F70" s="12"/>
      <c r="G70" s="14"/>
      <c r="H70" s="1"/>
    </row>
    <row r="71" spans="1:8" customFormat="1" x14ac:dyDescent="0.2">
      <c r="A71" s="9"/>
      <c r="B71" s="10"/>
      <c r="C71" s="11"/>
      <c r="D71" s="12"/>
      <c r="E71" s="13"/>
      <c r="F71" s="12"/>
      <c r="G71" s="14"/>
      <c r="H71" s="1"/>
    </row>
    <row r="72" spans="1:8" customFormat="1" x14ac:dyDescent="0.2">
      <c r="A72" s="9"/>
      <c r="B72" s="10"/>
      <c r="C72" s="11"/>
      <c r="D72" s="12"/>
      <c r="E72" s="13"/>
      <c r="F72" s="12"/>
      <c r="G72" s="14"/>
      <c r="H72" s="1"/>
    </row>
    <row r="73" spans="1:8" customFormat="1" x14ac:dyDescent="0.2">
      <c r="A73" s="9"/>
      <c r="B73" s="10"/>
      <c r="C73" s="11"/>
      <c r="D73" s="12"/>
      <c r="E73" s="13"/>
      <c r="F73" s="12"/>
      <c r="G73" s="14"/>
      <c r="H73" s="1"/>
    </row>
    <row r="74" spans="1:8" customFormat="1" x14ac:dyDescent="0.2">
      <c r="A74" s="9"/>
      <c r="B74" s="10"/>
      <c r="C74" s="11"/>
      <c r="D74" s="12"/>
      <c r="E74" s="13"/>
      <c r="F74" s="12"/>
      <c r="G74" s="14"/>
      <c r="H74" s="1"/>
    </row>
    <row r="75" spans="1:8" customFormat="1" x14ac:dyDescent="0.2">
      <c r="A75" s="9"/>
      <c r="B75" s="10"/>
      <c r="C75" s="11"/>
      <c r="D75" s="12"/>
      <c r="E75" s="13"/>
      <c r="F75" s="12"/>
      <c r="G75" s="14"/>
      <c r="H75" s="1"/>
    </row>
    <row r="76" spans="1:8" customFormat="1" x14ac:dyDescent="0.2">
      <c r="A76" s="9"/>
      <c r="B76" s="10"/>
      <c r="C76" s="11"/>
      <c r="D76" s="12"/>
      <c r="E76" s="13"/>
      <c r="F76" s="12"/>
      <c r="G76" s="14"/>
      <c r="H76" s="1"/>
    </row>
    <row r="77" spans="1:8" customFormat="1" x14ac:dyDescent="0.2">
      <c r="A77" s="9"/>
      <c r="B77" s="10"/>
      <c r="C77" s="11"/>
      <c r="D77" s="12"/>
      <c r="E77" s="13"/>
      <c r="F77" s="12"/>
      <c r="G77" s="14"/>
      <c r="H77" s="1"/>
    </row>
    <row r="78" spans="1:8" customFormat="1" x14ac:dyDescent="0.2">
      <c r="A78" s="9"/>
      <c r="B78" s="10"/>
      <c r="C78" s="11"/>
      <c r="D78" s="12"/>
      <c r="E78" s="13"/>
      <c r="F78" s="12"/>
      <c r="G78" s="14"/>
      <c r="H78" s="1"/>
    </row>
    <row r="79" spans="1:8" customFormat="1" x14ac:dyDescent="0.2">
      <c r="A79" s="9"/>
      <c r="B79" s="10"/>
      <c r="C79" s="11"/>
      <c r="D79" s="12"/>
      <c r="E79" s="13"/>
      <c r="F79" s="12"/>
      <c r="G79" s="14"/>
      <c r="H79" s="1"/>
    </row>
    <row r="80" spans="1:8" customFormat="1" x14ac:dyDescent="0.2">
      <c r="A80" s="9"/>
      <c r="B80" s="10"/>
      <c r="C80" s="11"/>
      <c r="D80" s="12"/>
      <c r="E80" s="13"/>
      <c r="F80" s="12"/>
      <c r="G80" s="14"/>
      <c r="H80" s="1"/>
    </row>
    <row r="81" spans="1:8" customFormat="1" x14ac:dyDescent="0.2">
      <c r="A81" s="9"/>
      <c r="B81" s="10"/>
      <c r="C81" s="11"/>
      <c r="D81" s="12"/>
      <c r="E81" s="13"/>
      <c r="F81" s="12"/>
      <c r="G81" s="14"/>
      <c r="H81" s="1"/>
    </row>
    <row r="82" spans="1:8" customFormat="1" x14ac:dyDescent="0.2">
      <c r="A82" s="9"/>
      <c r="B82" s="10"/>
      <c r="C82" s="11"/>
      <c r="D82" s="12"/>
      <c r="E82" s="13"/>
      <c r="F82" s="12"/>
      <c r="G82" s="14"/>
      <c r="H82" s="1"/>
    </row>
    <row r="83" spans="1:8" customFormat="1" x14ac:dyDescent="0.2">
      <c r="A83" s="9"/>
      <c r="B83" s="10"/>
      <c r="C83" s="11"/>
      <c r="D83" s="12"/>
      <c r="E83" s="13"/>
      <c r="F83" s="12"/>
      <c r="G83" s="14"/>
      <c r="H83" s="1"/>
    </row>
    <row r="84" spans="1:8" customFormat="1" x14ac:dyDescent="0.2">
      <c r="A84" s="9"/>
      <c r="B84" s="10"/>
      <c r="C84" s="11"/>
      <c r="D84" s="12"/>
      <c r="E84" s="13"/>
      <c r="F84" s="12"/>
      <c r="G84" s="14"/>
      <c r="H84" s="1"/>
    </row>
    <row r="85" spans="1:8" customFormat="1" x14ac:dyDescent="0.2">
      <c r="A85" s="9"/>
      <c r="B85" s="10"/>
      <c r="C85" s="11"/>
      <c r="D85" s="12"/>
      <c r="E85" s="13"/>
      <c r="F85" s="12"/>
      <c r="G85" s="14"/>
      <c r="H85" s="1"/>
    </row>
    <row r="86" spans="1:8" customFormat="1" x14ac:dyDescent="0.2">
      <c r="A86" s="9"/>
      <c r="B86" s="10"/>
      <c r="C86" s="11"/>
      <c r="D86" s="12"/>
      <c r="E86" s="13"/>
      <c r="F86" s="12"/>
      <c r="G86" s="14"/>
      <c r="H86" s="1"/>
    </row>
    <row r="87" spans="1:8" customFormat="1" x14ac:dyDescent="0.2">
      <c r="A87" s="9"/>
      <c r="B87" s="10"/>
      <c r="C87" s="11"/>
      <c r="D87" s="12"/>
      <c r="E87" s="13"/>
      <c r="F87" s="12"/>
      <c r="G87" s="14"/>
      <c r="H87" s="1"/>
    </row>
    <row r="88" spans="1:8" customFormat="1" x14ac:dyDescent="0.2">
      <c r="A88" s="9"/>
      <c r="B88" s="10"/>
      <c r="C88" s="11"/>
      <c r="D88" s="12"/>
      <c r="E88" s="13"/>
      <c r="F88" s="12"/>
      <c r="G88" s="14"/>
      <c r="H88" s="1"/>
    </row>
    <row r="89" spans="1:8" customFormat="1" x14ac:dyDescent="0.2">
      <c r="A89" s="9"/>
      <c r="B89" s="10"/>
      <c r="C89" s="11"/>
      <c r="D89" s="12"/>
      <c r="E89" s="13"/>
      <c r="F89" s="12"/>
      <c r="G89" s="14"/>
      <c r="H89" s="1"/>
    </row>
    <row r="90" spans="1:8" customFormat="1" x14ac:dyDescent="0.2">
      <c r="A90" s="9"/>
      <c r="B90" s="10"/>
      <c r="C90" s="11"/>
      <c r="D90" s="12"/>
      <c r="E90" s="13"/>
      <c r="F90" s="12"/>
      <c r="G90" s="14"/>
      <c r="H90" s="1"/>
    </row>
    <row r="91" spans="1:8" customFormat="1" x14ac:dyDescent="0.2">
      <c r="A91" s="9"/>
      <c r="B91" s="10"/>
      <c r="C91" s="11"/>
      <c r="D91" s="12"/>
      <c r="E91" s="13"/>
      <c r="F91" s="12"/>
      <c r="G91" s="14"/>
      <c r="H91" s="1"/>
    </row>
    <row r="92" spans="1:8" customFormat="1" x14ac:dyDescent="0.2">
      <c r="A92" s="9"/>
      <c r="B92" s="10"/>
      <c r="C92" s="11"/>
      <c r="D92" s="12"/>
      <c r="E92" s="13"/>
      <c r="F92" s="12"/>
      <c r="G92" s="14"/>
      <c r="H92" s="1"/>
    </row>
    <row r="93" spans="1:8" customFormat="1" x14ac:dyDescent="0.2">
      <c r="A93" s="9"/>
      <c r="B93" s="10"/>
      <c r="C93" s="11"/>
      <c r="D93" s="12"/>
      <c r="E93" s="13"/>
      <c r="F93" s="12"/>
      <c r="G93" s="14"/>
      <c r="H93" s="1"/>
    </row>
    <row r="94" spans="1:8" customFormat="1" x14ac:dyDescent="0.2">
      <c r="A94" s="9"/>
      <c r="B94" s="10"/>
      <c r="C94" s="11"/>
      <c r="D94" s="12"/>
      <c r="E94" s="13"/>
      <c r="F94" s="12"/>
      <c r="G94" s="14"/>
      <c r="H94" s="1"/>
    </row>
    <row r="95" spans="1:8" customFormat="1" x14ac:dyDescent="0.2">
      <c r="A95" s="9"/>
      <c r="B95" s="10"/>
      <c r="C95" s="11"/>
      <c r="D95" s="12"/>
      <c r="E95" s="13"/>
      <c r="F95" s="12"/>
      <c r="G95" s="14"/>
      <c r="H95" s="1"/>
    </row>
    <row r="96" spans="1:8" customFormat="1" x14ac:dyDescent="0.2">
      <c r="A96" s="9"/>
      <c r="B96" s="10"/>
      <c r="C96" s="11"/>
      <c r="D96" s="12"/>
      <c r="E96" s="13"/>
      <c r="F96" s="12"/>
      <c r="G96" s="14"/>
      <c r="H96" s="1"/>
    </row>
    <row r="97" spans="1:8" customFormat="1" x14ac:dyDescent="0.2">
      <c r="A97" s="9"/>
      <c r="B97" s="10"/>
      <c r="C97" s="11"/>
      <c r="D97" s="12"/>
      <c r="E97" s="13"/>
      <c r="F97" s="12"/>
      <c r="G97" s="14"/>
      <c r="H97" s="1"/>
    </row>
    <row r="98" spans="1:8" customFormat="1" x14ac:dyDescent="0.2">
      <c r="A98" s="9"/>
      <c r="B98" s="10"/>
      <c r="C98" s="11"/>
      <c r="D98" s="12"/>
      <c r="E98" s="13"/>
      <c r="F98" s="12"/>
      <c r="G98" s="14"/>
      <c r="H98" s="1"/>
    </row>
    <row r="99" spans="1:8" customFormat="1" x14ac:dyDescent="0.2">
      <c r="A99" s="9"/>
      <c r="B99" s="10"/>
      <c r="C99" s="11"/>
      <c r="D99" s="12"/>
      <c r="E99" s="13"/>
      <c r="F99" s="12"/>
      <c r="G99" s="14"/>
      <c r="H99" s="1"/>
    </row>
    <row r="100" spans="1:8" customFormat="1" x14ac:dyDescent="0.2">
      <c r="A100" s="9"/>
      <c r="B100" s="10"/>
      <c r="C100" s="11"/>
      <c r="D100" s="12"/>
      <c r="E100" s="13"/>
      <c r="F100" s="12"/>
      <c r="G100" s="14"/>
      <c r="H100" s="1"/>
    </row>
    <row r="101" spans="1:8" customFormat="1" x14ac:dyDescent="0.2">
      <c r="A101" s="9"/>
      <c r="B101" s="10"/>
      <c r="C101" s="11"/>
      <c r="D101" s="12"/>
      <c r="E101" s="13"/>
      <c r="F101" s="12"/>
      <c r="G101" s="14"/>
      <c r="H101" s="1"/>
    </row>
    <row r="102" spans="1:8" customFormat="1" x14ac:dyDescent="0.2">
      <c r="A102" s="9"/>
      <c r="B102" s="10"/>
      <c r="C102" s="11"/>
      <c r="D102" s="12"/>
      <c r="E102" s="13"/>
      <c r="F102" s="12"/>
      <c r="G102" s="14"/>
      <c r="H102" s="1"/>
    </row>
    <row r="103" spans="1:8" customFormat="1" x14ac:dyDescent="0.2">
      <c r="A103" s="9"/>
      <c r="B103" s="10"/>
      <c r="C103" s="11"/>
      <c r="D103" s="12"/>
      <c r="E103" s="13"/>
      <c r="F103" s="12"/>
      <c r="G103" s="14"/>
      <c r="H103" s="1"/>
    </row>
    <row r="104" spans="1:8" customFormat="1" x14ac:dyDescent="0.2">
      <c r="A104" s="9"/>
      <c r="B104" s="10"/>
      <c r="C104" s="11"/>
      <c r="D104" s="12"/>
      <c r="E104" s="13"/>
      <c r="F104" s="12"/>
      <c r="G104" s="14"/>
      <c r="H104" s="1"/>
    </row>
    <row r="105" spans="1:8" customFormat="1" x14ac:dyDescent="0.2">
      <c r="A105" s="9"/>
      <c r="B105" s="10"/>
      <c r="C105" s="11"/>
      <c r="D105" s="12"/>
      <c r="E105" s="13"/>
      <c r="F105" s="12"/>
      <c r="G105" s="14"/>
      <c r="H105" s="1"/>
    </row>
    <row r="106" spans="1:8" customFormat="1" x14ac:dyDescent="0.2">
      <c r="A106" s="9"/>
      <c r="B106" s="10"/>
      <c r="C106" s="11"/>
      <c r="D106" s="12"/>
      <c r="E106" s="13"/>
      <c r="F106" s="12"/>
      <c r="G106" s="14"/>
      <c r="H106" s="1"/>
    </row>
    <row r="107" spans="1:8" customFormat="1" x14ac:dyDescent="0.2">
      <c r="A107" s="9"/>
      <c r="B107" s="10"/>
      <c r="C107" s="11"/>
      <c r="D107" s="12"/>
      <c r="E107" s="13"/>
      <c r="F107" s="12"/>
      <c r="G107" s="14"/>
      <c r="H107" s="1"/>
    </row>
    <row r="108" spans="1:8" customFormat="1" x14ac:dyDescent="0.2">
      <c r="A108" s="9"/>
      <c r="B108" s="10"/>
      <c r="C108" s="11"/>
      <c r="D108" s="12"/>
      <c r="E108" s="13"/>
      <c r="F108" s="12"/>
      <c r="G108" s="14"/>
      <c r="H108" s="1"/>
    </row>
    <row r="109" spans="1:8" customFormat="1" x14ac:dyDescent="0.2">
      <c r="A109" s="9"/>
      <c r="B109" s="10"/>
      <c r="C109" s="11"/>
      <c r="D109" s="12"/>
      <c r="E109" s="13"/>
      <c r="F109" s="12"/>
      <c r="G109" s="14"/>
      <c r="H109" s="1"/>
    </row>
    <row r="110" spans="1:8" customFormat="1" x14ac:dyDescent="0.2">
      <c r="A110" s="9"/>
      <c r="B110" s="10"/>
      <c r="C110" s="11"/>
      <c r="D110" s="12"/>
      <c r="E110" s="13"/>
      <c r="F110" s="12"/>
      <c r="G110" s="14"/>
      <c r="H110" s="1"/>
    </row>
    <row r="111" spans="1:8" customFormat="1" x14ac:dyDescent="0.2">
      <c r="A111" s="9"/>
      <c r="B111" s="10"/>
      <c r="C111" s="11"/>
      <c r="D111" s="12"/>
      <c r="E111" s="13"/>
      <c r="F111" s="12"/>
      <c r="G111" s="14"/>
      <c r="H111" s="1"/>
    </row>
    <row r="112" spans="1:8" customFormat="1" x14ac:dyDescent="0.2">
      <c r="A112" s="9"/>
      <c r="B112" s="10"/>
      <c r="C112" s="11"/>
      <c r="D112" s="12"/>
      <c r="E112" s="13"/>
      <c r="F112" s="12"/>
      <c r="G112" s="14"/>
      <c r="H112" s="1"/>
    </row>
    <row r="113" spans="1:8" customFormat="1" x14ac:dyDescent="0.2">
      <c r="A113" s="9"/>
      <c r="B113" s="10"/>
      <c r="C113" s="11"/>
      <c r="D113" s="12"/>
      <c r="E113" s="13"/>
      <c r="F113" s="12"/>
      <c r="G113" s="14"/>
      <c r="H113" s="1"/>
    </row>
    <row r="114" spans="1:8" customFormat="1" x14ac:dyDescent="0.2">
      <c r="A114" s="9"/>
      <c r="B114" s="10"/>
      <c r="C114" s="11"/>
      <c r="D114" s="12"/>
      <c r="E114" s="13"/>
      <c r="F114" s="12"/>
      <c r="G114" s="14"/>
      <c r="H114" s="1"/>
    </row>
    <row r="115" spans="1:8" customFormat="1" x14ac:dyDescent="0.2">
      <c r="A115" s="9"/>
      <c r="B115" s="10"/>
      <c r="C115" s="11"/>
      <c r="D115" s="12"/>
      <c r="E115" s="13"/>
      <c r="F115" s="12"/>
      <c r="G115" s="14"/>
      <c r="H115" s="1"/>
    </row>
    <row r="116" spans="1:8" customFormat="1" x14ac:dyDescent="0.2">
      <c r="A116" s="9"/>
      <c r="B116" s="10"/>
      <c r="C116" s="11"/>
      <c r="D116" s="12"/>
      <c r="E116" s="13"/>
      <c r="F116" s="12"/>
      <c r="G116" s="14"/>
      <c r="H116" s="1"/>
    </row>
    <row r="117" spans="1:8" customFormat="1" x14ac:dyDescent="0.2">
      <c r="A117" s="9"/>
      <c r="B117" s="10"/>
      <c r="C117" s="11"/>
      <c r="D117" s="12"/>
      <c r="E117" s="13"/>
      <c r="F117" s="12"/>
      <c r="G117" s="14"/>
      <c r="H117" s="1"/>
    </row>
    <row r="118" spans="1:8" customFormat="1" x14ac:dyDescent="0.2">
      <c r="A118" s="9"/>
      <c r="B118" s="10"/>
      <c r="C118" s="11"/>
      <c r="D118" s="12"/>
      <c r="E118" s="13"/>
      <c r="F118" s="12"/>
      <c r="G118" s="14"/>
      <c r="H118" s="1"/>
    </row>
    <row r="119" spans="1:8" customFormat="1" x14ac:dyDescent="0.2">
      <c r="A119" s="9"/>
      <c r="B119" s="10"/>
      <c r="C119" s="11"/>
      <c r="D119" s="12"/>
      <c r="E119" s="13"/>
      <c r="F119" s="12"/>
      <c r="G119" s="14"/>
      <c r="H119" s="1"/>
    </row>
    <row r="120" spans="1:8" customFormat="1" x14ac:dyDescent="0.2">
      <c r="A120" s="9"/>
      <c r="B120" s="10"/>
      <c r="C120" s="11"/>
      <c r="D120" s="12"/>
      <c r="E120" s="13"/>
      <c r="F120" s="12"/>
      <c r="G120" s="14"/>
      <c r="H120" s="1"/>
    </row>
    <row r="121" spans="1:8" customFormat="1" x14ac:dyDescent="0.2">
      <c r="A121" s="9"/>
      <c r="B121" s="10"/>
      <c r="C121" s="11"/>
      <c r="D121" s="12"/>
      <c r="E121" s="13"/>
      <c r="F121" s="12"/>
      <c r="G121" s="14"/>
      <c r="H121" s="1"/>
    </row>
    <row r="122" spans="1:8" customFormat="1" x14ac:dyDescent="0.2">
      <c r="A122" s="9"/>
      <c r="B122" s="10"/>
      <c r="C122" s="11"/>
      <c r="D122" s="12"/>
      <c r="E122" s="13"/>
      <c r="F122" s="12"/>
      <c r="G122" s="14"/>
      <c r="H122" s="1"/>
    </row>
    <row r="123" spans="1:8" customFormat="1" x14ac:dyDescent="0.2">
      <c r="A123" s="9"/>
      <c r="B123" s="10"/>
      <c r="C123" s="11"/>
      <c r="D123" s="12"/>
      <c r="E123" s="13"/>
      <c r="F123" s="12"/>
      <c r="G123" s="14"/>
      <c r="H123" s="1"/>
    </row>
    <row r="124" spans="1:8" customFormat="1" x14ac:dyDescent="0.2">
      <c r="A124" s="9"/>
      <c r="B124" s="10"/>
      <c r="C124" s="11"/>
      <c r="D124" s="12"/>
      <c r="E124" s="13"/>
      <c r="F124" s="12"/>
      <c r="G124" s="14"/>
      <c r="H124" s="1"/>
    </row>
    <row r="125" spans="1:8" customFormat="1" x14ac:dyDescent="0.2">
      <c r="A125" s="9"/>
      <c r="B125" s="10"/>
      <c r="C125" s="11"/>
      <c r="D125" s="12"/>
      <c r="E125" s="13"/>
      <c r="F125" s="12"/>
      <c r="G125" s="14"/>
      <c r="H125" s="1"/>
    </row>
    <row r="126" spans="1:8" customFormat="1" x14ac:dyDescent="0.2">
      <c r="A126" s="9"/>
      <c r="B126" s="10"/>
      <c r="C126" s="11"/>
      <c r="D126" s="12"/>
      <c r="E126" s="13"/>
      <c r="F126" s="12"/>
      <c r="G126" s="14"/>
      <c r="H126" s="1"/>
    </row>
    <row r="127" spans="1:8" customFormat="1" x14ac:dyDescent="0.2">
      <c r="A127" s="9"/>
      <c r="B127" s="10"/>
      <c r="C127" s="11"/>
      <c r="D127" s="12"/>
      <c r="E127" s="13"/>
      <c r="F127" s="12"/>
      <c r="G127" s="14"/>
      <c r="H127" s="1"/>
    </row>
    <row r="128" spans="1:8" customFormat="1" x14ac:dyDescent="0.2">
      <c r="A128" s="9"/>
      <c r="B128" s="10"/>
      <c r="C128" s="11"/>
      <c r="D128" s="12"/>
      <c r="E128" s="13"/>
      <c r="F128" s="12"/>
      <c r="G128" s="14"/>
      <c r="H128" s="1"/>
    </row>
    <row r="129" spans="1:8" customFormat="1" x14ac:dyDescent="0.2">
      <c r="A129" s="9"/>
      <c r="B129" s="10"/>
      <c r="C129" s="11"/>
      <c r="D129" s="12"/>
      <c r="E129" s="13"/>
      <c r="F129" s="12"/>
      <c r="G129" s="14"/>
      <c r="H129" s="1"/>
    </row>
    <row r="130" spans="1:8" customFormat="1" x14ac:dyDescent="0.2">
      <c r="A130" s="9"/>
      <c r="B130" s="10"/>
      <c r="C130" s="11"/>
      <c r="D130" s="12"/>
      <c r="E130" s="13"/>
      <c r="F130" s="12"/>
      <c r="G130" s="14"/>
      <c r="H130" s="1"/>
    </row>
    <row r="131" spans="1:8" customFormat="1" x14ac:dyDescent="0.2">
      <c r="A131" s="9"/>
      <c r="B131" s="10"/>
      <c r="C131" s="11"/>
      <c r="D131" s="12"/>
      <c r="E131" s="13"/>
      <c r="F131" s="12"/>
      <c r="G131" s="14"/>
      <c r="H131" s="1"/>
    </row>
    <row r="132" spans="1:8" customFormat="1" x14ac:dyDescent="0.2">
      <c r="A132" s="9"/>
      <c r="B132" s="10"/>
      <c r="C132" s="11"/>
      <c r="D132" s="12"/>
      <c r="E132" s="13"/>
      <c r="F132" s="12"/>
      <c r="G132" s="14"/>
      <c r="H132" s="1"/>
    </row>
    <row r="133" spans="1:8" customFormat="1" x14ac:dyDescent="0.2">
      <c r="A133" s="9"/>
      <c r="B133" s="10"/>
      <c r="C133" s="11"/>
      <c r="D133" s="12"/>
      <c r="E133" s="13"/>
      <c r="F133" s="12"/>
      <c r="G133" s="14"/>
      <c r="H133" s="1"/>
    </row>
    <row r="134" spans="1:8" customFormat="1" x14ac:dyDescent="0.2">
      <c r="A134" s="9"/>
      <c r="B134" s="10"/>
      <c r="C134" s="11"/>
      <c r="D134" s="12"/>
      <c r="E134" s="13"/>
      <c r="F134" s="12"/>
      <c r="G134" s="14"/>
      <c r="H134" s="1"/>
    </row>
    <row r="135" spans="1:8" customFormat="1" x14ac:dyDescent="0.2">
      <c r="A135" s="9"/>
      <c r="B135" s="10"/>
      <c r="C135" s="11"/>
      <c r="D135" s="12"/>
      <c r="E135" s="13"/>
      <c r="F135" s="12"/>
      <c r="G135" s="14"/>
      <c r="H135" s="1"/>
    </row>
    <row r="136" spans="1:8" customFormat="1" x14ac:dyDescent="0.2">
      <c r="A136" s="9"/>
      <c r="B136" s="10"/>
      <c r="C136" s="11"/>
      <c r="D136" s="12"/>
      <c r="E136" s="13"/>
      <c r="F136" s="12"/>
      <c r="G136" s="14"/>
      <c r="H136" s="1"/>
    </row>
    <row r="137" spans="1:8" customFormat="1" x14ac:dyDescent="0.2">
      <c r="A137" s="9"/>
      <c r="B137" s="10"/>
      <c r="C137" s="11"/>
      <c r="D137" s="12"/>
      <c r="E137" s="13"/>
      <c r="F137" s="12"/>
      <c r="G137" s="14"/>
      <c r="H137" s="1"/>
    </row>
    <row r="138" spans="1:8" customFormat="1" x14ac:dyDescent="0.2">
      <c r="A138" s="9"/>
      <c r="B138" s="10"/>
      <c r="C138" s="11"/>
      <c r="D138" s="12"/>
      <c r="E138" s="13"/>
      <c r="F138" s="12"/>
      <c r="G138" s="14"/>
      <c r="H138" s="1"/>
    </row>
    <row r="139" spans="1:8" customFormat="1" x14ac:dyDescent="0.2">
      <c r="A139" s="9"/>
      <c r="B139" s="10"/>
      <c r="C139" s="11"/>
      <c r="D139" s="12"/>
      <c r="E139" s="13"/>
      <c r="F139" s="12"/>
      <c r="G139" s="14"/>
      <c r="H139" s="1"/>
    </row>
    <row r="140" spans="1:8" customFormat="1" x14ac:dyDescent="0.2">
      <c r="A140" s="9"/>
      <c r="B140" s="10"/>
      <c r="C140" s="11"/>
      <c r="D140" s="12"/>
      <c r="E140" s="13"/>
      <c r="F140" s="12"/>
      <c r="G140" s="14"/>
      <c r="H140" s="1"/>
    </row>
    <row r="141" spans="1:8" customFormat="1" x14ac:dyDescent="0.2">
      <c r="A141" s="9"/>
      <c r="B141" s="10"/>
      <c r="C141" s="11"/>
      <c r="D141" s="12"/>
      <c r="E141" s="13"/>
      <c r="F141" s="12"/>
      <c r="G141" s="14"/>
      <c r="H141" s="1"/>
    </row>
    <row r="142" spans="1:8" customFormat="1" x14ac:dyDescent="0.2">
      <c r="A142" s="9"/>
      <c r="B142" s="10"/>
      <c r="C142" s="11"/>
      <c r="D142" s="12"/>
      <c r="E142" s="13"/>
      <c r="F142" s="12"/>
      <c r="G142" s="14"/>
      <c r="H142" s="1"/>
    </row>
    <row r="143" spans="1:8" customFormat="1" x14ac:dyDescent="0.2">
      <c r="A143" s="9"/>
      <c r="B143" s="10"/>
      <c r="C143" s="11"/>
      <c r="D143" s="12"/>
      <c r="E143" s="13"/>
      <c r="F143" s="12"/>
      <c r="G143" s="14"/>
      <c r="H143" s="1"/>
    </row>
    <row r="144" spans="1:8" customFormat="1" x14ac:dyDescent="0.2">
      <c r="A144" s="9"/>
      <c r="B144" s="10"/>
      <c r="C144" s="11"/>
      <c r="D144" s="12"/>
      <c r="E144" s="13"/>
      <c r="F144" s="12"/>
      <c r="G144" s="14"/>
      <c r="H144" s="1"/>
    </row>
    <row r="145" spans="1:8" customFormat="1" x14ac:dyDescent="0.2">
      <c r="A145" s="9"/>
      <c r="B145" s="10"/>
      <c r="C145" s="11"/>
      <c r="D145" s="12"/>
      <c r="E145" s="13"/>
      <c r="F145" s="12"/>
      <c r="G145" s="14"/>
      <c r="H145" s="1"/>
    </row>
    <row r="146" spans="1:8" customFormat="1" x14ac:dyDescent="0.2">
      <c r="A146" s="9"/>
      <c r="B146" s="10"/>
      <c r="C146" s="11"/>
      <c r="D146" s="12"/>
      <c r="E146" s="13"/>
      <c r="F146" s="12"/>
      <c r="G146" s="14"/>
      <c r="H146" s="1"/>
    </row>
    <row r="147" spans="1:8" customFormat="1" x14ac:dyDescent="0.2">
      <c r="A147" s="9"/>
      <c r="B147" s="10"/>
      <c r="C147" s="11"/>
      <c r="D147" s="12"/>
      <c r="E147" s="13"/>
      <c r="F147" s="12"/>
      <c r="G147" s="14"/>
      <c r="H147" s="1"/>
    </row>
    <row r="148" spans="1:8" customFormat="1" x14ac:dyDescent="0.2">
      <c r="A148" s="9"/>
      <c r="B148" s="10"/>
      <c r="C148" s="11"/>
      <c r="D148" s="12"/>
      <c r="E148" s="13"/>
      <c r="F148" s="12"/>
      <c r="G148" s="14"/>
      <c r="H148" s="1"/>
    </row>
    <row r="149" spans="1:8" customFormat="1" x14ac:dyDescent="0.2">
      <c r="A149" s="9"/>
      <c r="B149" s="10"/>
      <c r="C149" s="11"/>
      <c r="D149" s="12"/>
      <c r="E149" s="13"/>
      <c r="F149" s="12"/>
      <c r="G149" s="14"/>
      <c r="H149" s="1"/>
    </row>
    <row r="150" spans="1:8" customFormat="1" x14ac:dyDescent="0.2">
      <c r="A150" s="9"/>
      <c r="B150" s="10"/>
      <c r="C150" s="11"/>
      <c r="D150" s="12"/>
      <c r="E150" s="13"/>
      <c r="F150" s="12"/>
      <c r="G150" s="14"/>
      <c r="H150" s="1"/>
    </row>
    <row r="151" spans="1:8" customFormat="1" x14ac:dyDescent="0.2">
      <c r="A151" s="9"/>
      <c r="B151" s="10"/>
      <c r="C151" s="11"/>
      <c r="D151" s="12"/>
      <c r="E151" s="13"/>
      <c r="F151" s="12"/>
      <c r="G151" s="14"/>
      <c r="H151" s="1"/>
    </row>
    <row r="152" spans="1:8" customFormat="1" x14ac:dyDescent="0.2">
      <c r="A152" s="9"/>
      <c r="B152" s="10"/>
      <c r="C152" s="11"/>
      <c r="D152" s="12"/>
      <c r="E152" s="13"/>
      <c r="F152" s="12"/>
      <c r="G152" s="14"/>
      <c r="H152" s="1"/>
    </row>
    <row r="153" spans="1:8" customFormat="1" x14ac:dyDescent="0.2">
      <c r="A153" s="9"/>
      <c r="B153" s="10"/>
      <c r="C153" s="11"/>
      <c r="D153" s="12"/>
      <c r="E153" s="13"/>
      <c r="F153" s="12"/>
      <c r="G153" s="14"/>
      <c r="H153" s="1"/>
    </row>
    <row r="154" spans="1:8" customFormat="1" x14ac:dyDescent="0.2">
      <c r="A154" s="9"/>
      <c r="B154" s="10"/>
      <c r="C154" s="11"/>
      <c r="D154" s="12"/>
      <c r="E154" s="13"/>
      <c r="F154" s="12"/>
      <c r="G154" s="14"/>
      <c r="H154" s="1"/>
    </row>
    <row r="155" spans="1:8" customFormat="1" x14ac:dyDescent="0.2">
      <c r="A155" s="9"/>
      <c r="B155" s="10"/>
      <c r="C155" s="11"/>
      <c r="D155" s="12"/>
      <c r="E155" s="13"/>
      <c r="F155" s="12"/>
      <c r="G155" s="14"/>
      <c r="H155" s="1"/>
    </row>
    <row r="156" spans="1:8" customFormat="1" x14ac:dyDescent="0.2">
      <c r="A156" s="9"/>
      <c r="B156" s="10"/>
      <c r="C156" s="11"/>
      <c r="D156" s="12"/>
      <c r="E156" s="13"/>
      <c r="F156" s="12"/>
      <c r="G156" s="14"/>
      <c r="H156" s="1"/>
    </row>
    <row r="157" spans="1:8" customFormat="1" x14ac:dyDescent="0.2">
      <c r="A157" s="9"/>
      <c r="B157" s="10"/>
      <c r="C157" s="11"/>
      <c r="D157" s="12"/>
      <c r="E157" s="13"/>
      <c r="F157" s="12"/>
      <c r="G157" s="14"/>
      <c r="H157" s="1"/>
    </row>
    <row r="158" spans="1:8" customFormat="1" x14ac:dyDescent="0.2">
      <c r="A158" s="9"/>
      <c r="B158" s="10"/>
      <c r="C158" s="11"/>
      <c r="D158" s="12"/>
      <c r="E158" s="13"/>
      <c r="F158" s="12"/>
      <c r="G158" s="14"/>
      <c r="H158" s="1"/>
    </row>
    <row r="159" spans="1:8" customFormat="1" x14ac:dyDescent="0.2">
      <c r="A159" s="9"/>
      <c r="B159" s="10"/>
      <c r="C159" s="11"/>
      <c r="D159" s="12"/>
      <c r="E159" s="13"/>
      <c r="F159" s="12"/>
      <c r="G159" s="14"/>
      <c r="H159" s="1"/>
    </row>
    <row r="160" spans="1:8" customFormat="1" x14ac:dyDescent="0.2">
      <c r="A160" s="9"/>
      <c r="B160" s="10"/>
      <c r="C160" s="11"/>
      <c r="D160" s="12"/>
      <c r="E160" s="13"/>
      <c r="F160" s="12"/>
      <c r="G160" s="14"/>
      <c r="H160" s="1"/>
    </row>
    <row r="161" spans="1:8" customFormat="1" x14ac:dyDescent="0.2">
      <c r="A161" s="9"/>
      <c r="B161" s="10"/>
      <c r="C161" s="11"/>
      <c r="D161" s="12"/>
      <c r="E161" s="13"/>
      <c r="F161" s="12"/>
      <c r="G161" s="14"/>
      <c r="H161" s="1"/>
    </row>
    <row r="162" spans="1:8" customFormat="1" x14ac:dyDescent="0.2">
      <c r="A162" s="9"/>
      <c r="B162" s="10"/>
      <c r="C162" s="11"/>
      <c r="D162" s="12"/>
      <c r="E162" s="13"/>
      <c r="F162" s="12"/>
      <c r="G162" s="14"/>
      <c r="H162" s="1"/>
    </row>
    <row r="163" spans="1:8" customFormat="1" x14ac:dyDescent="0.2">
      <c r="A163" s="9"/>
      <c r="B163" s="10"/>
      <c r="C163" s="11"/>
      <c r="D163" s="12"/>
      <c r="E163" s="13"/>
      <c r="F163" s="12"/>
      <c r="G163" s="14"/>
      <c r="H163" s="1"/>
    </row>
    <row r="164" spans="1:8" customFormat="1" x14ac:dyDescent="0.2">
      <c r="A164" s="9"/>
      <c r="B164" s="10"/>
      <c r="C164" s="11"/>
      <c r="D164" s="12"/>
      <c r="E164" s="13"/>
      <c r="F164" s="12"/>
      <c r="G164" s="14"/>
      <c r="H164" s="1"/>
    </row>
    <row r="165" spans="1:8" customFormat="1" x14ac:dyDescent="0.2">
      <c r="A165" s="9"/>
      <c r="B165" s="10"/>
      <c r="C165" s="11"/>
      <c r="D165" s="12"/>
      <c r="E165" s="13"/>
      <c r="F165" s="12"/>
      <c r="G165" s="14"/>
      <c r="H165" s="1"/>
    </row>
    <row r="166" spans="1:8" customFormat="1" x14ac:dyDescent="0.2">
      <c r="A166" s="9"/>
      <c r="B166" s="10"/>
      <c r="C166" s="11"/>
      <c r="D166" s="12"/>
      <c r="E166" s="13"/>
      <c r="F166" s="12"/>
      <c r="G166" s="14"/>
      <c r="H166" s="1"/>
    </row>
    <row r="167" spans="1:8" customFormat="1" x14ac:dyDescent="0.2">
      <c r="A167" s="9"/>
      <c r="B167" s="10"/>
      <c r="C167" s="11"/>
      <c r="D167" s="12"/>
      <c r="E167" s="13"/>
      <c r="F167" s="12"/>
      <c r="G167" s="14"/>
      <c r="H167" s="1"/>
    </row>
    <row r="168" spans="1:8" customFormat="1" x14ac:dyDescent="0.2">
      <c r="A168" s="9"/>
      <c r="B168" s="10"/>
      <c r="C168" s="11"/>
      <c r="D168" s="12"/>
      <c r="E168" s="13"/>
      <c r="F168" s="12"/>
      <c r="G168" s="14"/>
      <c r="H168" s="1"/>
    </row>
    <row r="169" spans="1:8" customFormat="1" x14ac:dyDescent="0.2">
      <c r="A169" s="9"/>
      <c r="B169" s="10"/>
      <c r="C169" s="11"/>
      <c r="D169" s="12"/>
      <c r="E169" s="13"/>
      <c r="F169" s="12"/>
      <c r="G169" s="14"/>
      <c r="H169" s="1"/>
    </row>
    <row r="170" spans="1:8" customFormat="1" x14ac:dyDescent="0.2">
      <c r="A170" s="9"/>
      <c r="B170" s="10"/>
      <c r="C170" s="11"/>
      <c r="D170" s="12"/>
      <c r="E170" s="13"/>
      <c r="F170" s="12"/>
      <c r="G170" s="14"/>
      <c r="H170" s="1"/>
    </row>
    <row r="171" spans="1:8" customFormat="1" x14ac:dyDescent="0.2">
      <c r="A171" s="9"/>
      <c r="B171" s="10"/>
      <c r="C171" s="11"/>
      <c r="D171" s="12"/>
      <c r="E171" s="13"/>
      <c r="F171" s="12"/>
      <c r="G171" s="14"/>
      <c r="H171" s="1"/>
    </row>
    <row r="172" spans="1:8" customFormat="1" x14ac:dyDescent="0.2">
      <c r="A172" s="9"/>
      <c r="B172" s="10"/>
      <c r="C172" s="11"/>
      <c r="D172" s="12"/>
      <c r="E172" s="13"/>
      <c r="F172" s="12"/>
      <c r="G172" s="14"/>
      <c r="H172" s="1"/>
    </row>
    <row r="173" spans="1:8" customFormat="1" x14ac:dyDescent="0.2">
      <c r="A173" s="9"/>
      <c r="B173" s="10"/>
      <c r="C173" s="11"/>
      <c r="D173" s="12"/>
      <c r="E173" s="13"/>
      <c r="F173" s="12"/>
      <c r="G173" s="14"/>
      <c r="H173" s="1"/>
    </row>
    <row r="174" spans="1:8" customFormat="1" x14ac:dyDescent="0.2">
      <c r="A174" s="9"/>
      <c r="B174" s="10"/>
      <c r="C174" s="11"/>
      <c r="D174" s="12"/>
      <c r="E174" s="13"/>
      <c r="F174" s="12"/>
      <c r="G174" s="14"/>
      <c r="H174" s="1"/>
    </row>
    <row r="175" spans="1:8" customFormat="1" x14ac:dyDescent="0.2">
      <c r="A175" s="9"/>
      <c r="B175" s="10"/>
      <c r="C175" s="11"/>
      <c r="D175" s="12"/>
      <c r="E175" s="13"/>
      <c r="F175" s="12"/>
      <c r="G175" s="14"/>
      <c r="H175" s="1"/>
    </row>
    <row r="176" spans="1:8" customFormat="1" x14ac:dyDescent="0.2">
      <c r="A176" s="9"/>
      <c r="B176" s="10"/>
      <c r="C176" s="11"/>
      <c r="D176" s="12"/>
      <c r="E176" s="13"/>
      <c r="F176" s="12"/>
      <c r="G176" s="14"/>
      <c r="H176" s="1"/>
    </row>
    <row r="177" spans="1:8" customFormat="1" x14ac:dyDescent="0.2">
      <c r="A177" s="9"/>
      <c r="B177" s="10"/>
      <c r="C177" s="11"/>
      <c r="D177" s="12"/>
      <c r="E177" s="13"/>
      <c r="F177" s="12"/>
      <c r="G177" s="14"/>
      <c r="H177" s="1"/>
    </row>
    <row r="178" spans="1:8" customFormat="1" x14ac:dyDescent="0.2">
      <c r="A178" s="9"/>
      <c r="B178" s="10"/>
      <c r="C178" s="11"/>
      <c r="D178" s="12"/>
      <c r="E178" s="13"/>
      <c r="F178" s="12"/>
      <c r="G178" s="14"/>
      <c r="H178" s="1"/>
    </row>
    <row r="179" spans="1:8" customFormat="1" x14ac:dyDescent="0.2">
      <c r="A179" s="9"/>
      <c r="B179" s="10"/>
      <c r="C179" s="11"/>
      <c r="D179" s="12"/>
      <c r="E179" s="13"/>
      <c r="F179" s="12"/>
      <c r="G179" s="14"/>
      <c r="H179" s="1"/>
    </row>
    <row r="180" spans="1:8" customFormat="1" x14ac:dyDescent="0.2">
      <c r="A180" s="9"/>
      <c r="B180" s="10"/>
      <c r="C180" s="11"/>
      <c r="D180" s="12"/>
      <c r="E180" s="13"/>
      <c r="F180" s="12"/>
      <c r="G180" s="14"/>
      <c r="H180" s="1"/>
    </row>
    <row r="181" spans="1:8" customFormat="1" x14ac:dyDescent="0.2">
      <c r="A181" s="9"/>
      <c r="B181" s="10"/>
      <c r="C181" s="11"/>
      <c r="D181" s="12"/>
      <c r="E181" s="13"/>
      <c r="F181" s="12"/>
      <c r="G181" s="14"/>
      <c r="H181" s="1"/>
    </row>
    <row r="182" spans="1:8" customFormat="1" x14ac:dyDescent="0.2">
      <c r="A182" s="9"/>
      <c r="B182" s="10"/>
      <c r="C182" s="11"/>
      <c r="D182" s="12"/>
      <c r="E182" s="13"/>
      <c r="F182" s="12"/>
      <c r="G182" s="14"/>
      <c r="H182" s="1"/>
    </row>
    <row r="183" spans="1:8" customFormat="1" x14ac:dyDescent="0.2">
      <c r="A183" s="9"/>
      <c r="B183" s="10"/>
      <c r="C183" s="11"/>
      <c r="D183" s="12"/>
      <c r="E183" s="13"/>
      <c r="F183" s="12"/>
      <c r="G183" s="14"/>
      <c r="H183" s="1"/>
    </row>
    <row r="184" spans="1:8" customFormat="1" x14ac:dyDescent="0.2">
      <c r="A184" s="9"/>
      <c r="B184" s="10"/>
      <c r="C184" s="11"/>
      <c r="D184" s="12"/>
      <c r="E184" s="13"/>
      <c r="F184" s="12"/>
      <c r="G184" s="14"/>
      <c r="H184" s="1"/>
    </row>
    <row r="185" spans="1:8" customFormat="1" x14ac:dyDescent="0.2">
      <c r="A185" s="9"/>
      <c r="B185" s="10"/>
      <c r="C185" s="11"/>
      <c r="D185" s="12"/>
      <c r="E185" s="13"/>
      <c r="F185" s="12"/>
      <c r="G185" s="14"/>
      <c r="H185" s="1"/>
    </row>
    <row r="186" spans="1:8" customFormat="1" x14ac:dyDescent="0.2">
      <c r="A186" s="9"/>
      <c r="B186" s="10"/>
      <c r="C186" s="11"/>
      <c r="D186" s="12"/>
      <c r="E186" s="13"/>
      <c r="F186" s="12"/>
      <c r="G186" s="14"/>
      <c r="H186" s="1"/>
    </row>
    <row r="187" spans="1:8" customFormat="1" x14ac:dyDescent="0.2">
      <c r="A187" s="9"/>
      <c r="B187" s="10"/>
      <c r="C187" s="11"/>
      <c r="D187" s="12"/>
      <c r="E187" s="13"/>
      <c r="F187" s="12"/>
      <c r="G187" s="14"/>
      <c r="H187" s="1"/>
    </row>
    <row r="188" spans="1:8" customFormat="1" x14ac:dyDescent="0.2">
      <c r="A188" s="9"/>
      <c r="B188" s="10"/>
      <c r="C188" s="11"/>
      <c r="D188" s="12"/>
      <c r="E188" s="13"/>
      <c r="F188" s="12"/>
      <c r="G188" s="14"/>
      <c r="H188" s="1"/>
    </row>
    <row r="189" spans="1:8" customFormat="1" x14ac:dyDescent="0.2">
      <c r="A189" s="9"/>
      <c r="B189" s="10"/>
      <c r="C189" s="11"/>
      <c r="D189" s="12"/>
      <c r="E189" s="13"/>
      <c r="F189" s="12"/>
      <c r="G189" s="14"/>
      <c r="H189" s="1"/>
    </row>
    <row r="190" spans="1:8" customFormat="1" x14ac:dyDescent="0.2">
      <c r="A190" s="9"/>
      <c r="B190" s="10"/>
      <c r="C190" s="11"/>
      <c r="D190" s="12"/>
      <c r="E190" s="13"/>
      <c r="F190" s="12"/>
      <c r="G190" s="14"/>
      <c r="H190" s="1"/>
    </row>
    <row r="191" spans="1:8" customFormat="1" x14ac:dyDescent="0.2">
      <c r="A191" s="9"/>
      <c r="B191" s="10"/>
      <c r="C191" s="11"/>
      <c r="D191" s="12"/>
      <c r="E191" s="13"/>
      <c r="F191" s="12"/>
      <c r="G191" s="14"/>
      <c r="H191" s="1"/>
    </row>
    <row r="192" spans="1:8" customFormat="1" x14ac:dyDescent="0.2">
      <c r="A192" s="9"/>
      <c r="B192" s="10"/>
      <c r="C192" s="11"/>
      <c r="D192" s="12"/>
      <c r="E192" s="13"/>
      <c r="F192" s="12"/>
      <c r="G192" s="14"/>
      <c r="H192" s="1"/>
    </row>
    <row r="193" spans="1:8" customFormat="1" x14ac:dyDescent="0.2">
      <c r="A193" s="9"/>
      <c r="B193" s="10"/>
      <c r="C193" s="11"/>
      <c r="D193" s="12"/>
      <c r="E193" s="13"/>
      <c r="F193" s="12"/>
      <c r="G193" s="14"/>
      <c r="H193" s="1"/>
    </row>
    <row r="194" spans="1:8" customFormat="1" x14ac:dyDescent="0.2">
      <c r="A194" s="9"/>
      <c r="B194" s="10"/>
      <c r="C194" s="11"/>
      <c r="D194" s="12"/>
      <c r="E194" s="13"/>
      <c r="F194" s="12"/>
      <c r="G194" s="14"/>
      <c r="H194" s="1"/>
    </row>
    <row r="195" spans="1:8" customFormat="1" x14ac:dyDescent="0.2">
      <c r="A195" s="9"/>
      <c r="B195" s="10"/>
      <c r="C195" s="11"/>
      <c r="D195" s="12"/>
      <c r="E195" s="13"/>
      <c r="F195" s="12"/>
      <c r="G195" s="14"/>
      <c r="H195" s="1"/>
    </row>
    <row r="196" spans="1:8" customFormat="1" x14ac:dyDescent="0.2">
      <c r="A196" s="9"/>
      <c r="B196" s="10"/>
      <c r="C196" s="11"/>
      <c r="D196" s="12"/>
      <c r="E196" s="13"/>
      <c r="F196" s="12"/>
      <c r="G196" s="14"/>
      <c r="H196" s="1"/>
    </row>
    <row r="197" spans="1:8" customFormat="1" x14ac:dyDescent="0.2">
      <c r="A197" s="9"/>
      <c r="B197" s="10"/>
      <c r="C197" s="11"/>
      <c r="D197" s="12"/>
      <c r="E197" s="13"/>
      <c r="F197" s="12"/>
      <c r="G197" s="14"/>
      <c r="H197" s="1"/>
    </row>
    <row r="198" spans="1:8" customFormat="1" x14ac:dyDescent="0.2">
      <c r="A198" s="9"/>
      <c r="B198" s="10"/>
      <c r="C198" s="11"/>
      <c r="D198" s="12"/>
      <c r="E198" s="13"/>
      <c r="F198" s="12"/>
      <c r="G198" s="14"/>
      <c r="H198" s="1"/>
    </row>
    <row r="199" spans="1:8" customFormat="1" x14ac:dyDescent="0.2">
      <c r="A199" s="9"/>
      <c r="B199" s="10"/>
      <c r="C199" s="11"/>
      <c r="D199" s="12"/>
      <c r="E199" s="13"/>
      <c r="F199" s="12"/>
      <c r="G199" s="14"/>
      <c r="H199" s="1"/>
    </row>
    <row r="200" spans="1:8" customFormat="1" x14ac:dyDescent="0.2">
      <c r="A200" s="9"/>
      <c r="B200" s="10"/>
      <c r="C200" s="11"/>
      <c r="D200" s="12"/>
      <c r="E200" s="13"/>
      <c r="F200" s="12"/>
      <c r="G200" s="14"/>
      <c r="H200" s="1"/>
    </row>
    <row r="201" spans="1:8" customFormat="1" x14ac:dyDescent="0.2">
      <c r="A201" s="9"/>
      <c r="B201" s="10"/>
      <c r="C201" s="11"/>
      <c r="D201" s="12"/>
      <c r="E201" s="13"/>
      <c r="F201" s="12"/>
      <c r="G201" s="14"/>
      <c r="H201" s="1"/>
    </row>
    <row r="202" spans="1:8" customFormat="1" x14ac:dyDescent="0.2">
      <c r="A202" s="9"/>
      <c r="B202" s="10"/>
      <c r="C202" s="11"/>
      <c r="D202" s="12"/>
      <c r="E202" s="13"/>
      <c r="F202" s="12"/>
      <c r="G202" s="14"/>
      <c r="H202" s="1"/>
    </row>
    <row r="203" spans="1:8" customFormat="1" x14ac:dyDescent="0.2">
      <c r="A203" s="9"/>
      <c r="B203" s="10"/>
      <c r="C203" s="11"/>
      <c r="D203" s="12"/>
      <c r="E203" s="13"/>
      <c r="F203" s="12"/>
      <c r="G203" s="14"/>
      <c r="H203" s="1"/>
    </row>
    <row r="204" spans="1:8" customFormat="1" x14ac:dyDescent="0.2">
      <c r="A204" s="9"/>
      <c r="B204" s="10"/>
      <c r="C204" s="11"/>
      <c r="D204" s="12"/>
      <c r="E204" s="13"/>
      <c r="F204" s="12"/>
      <c r="G204" s="14"/>
      <c r="H204" s="1"/>
    </row>
    <row r="205" spans="1:8" customFormat="1" x14ac:dyDescent="0.2">
      <c r="A205" s="9"/>
      <c r="B205" s="10"/>
      <c r="C205" s="11"/>
      <c r="D205" s="12"/>
      <c r="E205" s="13"/>
      <c r="F205" s="12"/>
      <c r="G205" s="14"/>
      <c r="H205" s="1"/>
    </row>
    <row r="206" spans="1:8" customFormat="1" x14ac:dyDescent="0.2">
      <c r="A206" s="9"/>
      <c r="B206" s="10"/>
      <c r="C206" s="11"/>
      <c r="D206" s="12"/>
      <c r="E206" s="13"/>
      <c r="F206" s="12"/>
      <c r="G206" s="14"/>
      <c r="H206" s="1"/>
    </row>
    <row r="207" spans="1:8" customFormat="1" x14ac:dyDescent="0.2">
      <c r="A207" s="9"/>
      <c r="B207" s="10"/>
      <c r="C207" s="11"/>
      <c r="D207" s="12"/>
      <c r="E207" s="13"/>
      <c r="F207" s="12"/>
      <c r="G207" s="14"/>
      <c r="H207" s="1"/>
    </row>
    <row r="208" spans="1:8" customFormat="1" x14ac:dyDescent="0.2">
      <c r="A208" s="9"/>
      <c r="B208" s="10"/>
      <c r="C208" s="11"/>
      <c r="D208" s="12"/>
      <c r="E208" s="13"/>
      <c r="F208" s="12"/>
      <c r="G208" s="14"/>
      <c r="H208" s="1"/>
    </row>
    <row r="209" spans="1:8" customFormat="1" x14ac:dyDescent="0.2">
      <c r="A209" s="9"/>
      <c r="B209" s="10"/>
      <c r="C209" s="11"/>
      <c r="D209" s="12"/>
      <c r="E209" s="13"/>
      <c r="F209" s="12"/>
      <c r="G209" s="14"/>
      <c r="H209" s="1"/>
    </row>
    <row r="210" spans="1:8" customFormat="1" x14ac:dyDescent="0.2">
      <c r="A210" s="9"/>
      <c r="B210" s="10"/>
      <c r="C210" s="11"/>
      <c r="D210" s="12"/>
      <c r="E210" s="13"/>
      <c r="F210" s="12"/>
      <c r="G210" s="14"/>
      <c r="H210" s="1"/>
    </row>
    <row r="211" spans="1:8" customFormat="1" x14ac:dyDescent="0.2">
      <c r="A211" s="9"/>
      <c r="B211" s="10"/>
      <c r="C211" s="11"/>
      <c r="D211" s="12"/>
      <c r="E211" s="13"/>
      <c r="F211" s="12"/>
      <c r="G211" s="14"/>
      <c r="H211" s="1"/>
    </row>
    <row r="212" spans="1:8" customFormat="1" x14ac:dyDescent="0.2">
      <c r="A212" s="9"/>
      <c r="B212" s="10"/>
      <c r="C212" s="11"/>
      <c r="D212" s="12"/>
      <c r="E212" s="13"/>
      <c r="F212" s="12"/>
      <c r="G212" s="14"/>
      <c r="H212" s="1"/>
    </row>
    <row r="213" spans="1:8" customFormat="1" x14ac:dyDescent="0.2">
      <c r="A213" s="9"/>
      <c r="B213" s="10"/>
      <c r="C213" s="11"/>
      <c r="D213" s="12"/>
      <c r="E213" s="13"/>
      <c r="F213" s="12"/>
      <c r="G213" s="14"/>
      <c r="H213" s="1"/>
    </row>
    <row r="214" spans="1:8" customFormat="1" x14ac:dyDescent="0.2">
      <c r="A214" s="9"/>
      <c r="B214" s="10"/>
      <c r="C214" s="11"/>
      <c r="D214" s="12"/>
      <c r="E214" s="13"/>
      <c r="F214" s="12"/>
      <c r="G214" s="14"/>
      <c r="H214" s="1"/>
    </row>
    <row r="215" spans="1:8" customFormat="1" x14ac:dyDescent="0.2">
      <c r="A215" s="9"/>
      <c r="B215" s="10"/>
      <c r="C215" s="11"/>
      <c r="D215" s="12"/>
      <c r="E215" s="13"/>
      <c r="F215" s="12"/>
      <c r="G215" s="14"/>
      <c r="H215" s="1"/>
    </row>
    <row r="216" spans="1:8" customFormat="1" x14ac:dyDescent="0.2">
      <c r="A216" s="9"/>
      <c r="B216" s="10"/>
      <c r="C216" s="11"/>
      <c r="D216" s="12"/>
      <c r="E216" s="13"/>
      <c r="F216" s="12"/>
      <c r="G216" s="14"/>
      <c r="H216" s="1"/>
    </row>
    <row r="217" spans="1:8" customFormat="1" x14ac:dyDescent="0.2">
      <c r="A217" s="9"/>
      <c r="B217" s="10"/>
      <c r="C217" s="11"/>
      <c r="D217" s="12"/>
      <c r="E217" s="13"/>
      <c r="F217" s="12"/>
      <c r="G217" s="14"/>
      <c r="H217" s="1"/>
    </row>
    <row r="218" spans="1:8" customFormat="1" x14ac:dyDescent="0.2">
      <c r="A218" s="9"/>
      <c r="B218" s="10"/>
      <c r="C218" s="11"/>
      <c r="D218" s="12"/>
      <c r="E218" s="13"/>
      <c r="F218" s="12"/>
      <c r="G218" s="14"/>
      <c r="H218" s="1"/>
    </row>
    <row r="219" spans="1:8" customFormat="1" x14ac:dyDescent="0.2">
      <c r="A219" s="9"/>
      <c r="B219" s="10"/>
      <c r="C219" s="11"/>
      <c r="D219" s="12"/>
      <c r="E219" s="13"/>
      <c r="F219" s="12"/>
      <c r="G219" s="14"/>
      <c r="H219" s="1"/>
    </row>
    <row r="220" spans="1:8" customFormat="1" x14ac:dyDescent="0.2">
      <c r="A220" s="9"/>
      <c r="B220" s="10"/>
      <c r="C220" s="11"/>
      <c r="D220" s="12"/>
      <c r="E220" s="13"/>
      <c r="F220" s="12"/>
      <c r="G220" s="14"/>
      <c r="H220" s="1"/>
    </row>
    <row r="221" spans="1:8" customFormat="1" x14ac:dyDescent="0.2">
      <c r="A221" s="9"/>
      <c r="B221" s="10"/>
      <c r="C221" s="11"/>
      <c r="D221" s="12"/>
      <c r="E221" s="13"/>
      <c r="F221" s="12"/>
      <c r="G221" s="14"/>
      <c r="H221" s="1"/>
    </row>
    <row r="222" spans="1:8" customFormat="1" x14ac:dyDescent="0.2">
      <c r="A222" s="9"/>
      <c r="B222" s="10"/>
      <c r="C222" s="11"/>
      <c r="D222" s="12"/>
      <c r="E222" s="13"/>
      <c r="F222" s="12"/>
      <c r="G222" s="14"/>
      <c r="H222" s="1"/>
    </row>
    <row r="223" spans="1:8" customFormat="1" x14ac:dyDescent="0.2">
      <c r="A223" s="9"/>
      <c r="B223" s="10"/>
      <c r="C223" s="11"/>
      <c r="D223" s="12"/>
      <c r="E223" s="13"/>
      <c r="F223" s="12"/>
      <c r="G223" s="14"/>
      <c r="H223" s="1"/>
    </row>
    <row r="224" spans="1:8" customFormat="1" x14ac:dyDescent="0.2">
      <c r="A224" s="9"/>
      <c r="B224" s="10"/>
      <c r="C224" s="11"/>
      <c r="D224" s="12"/>
      <c r="E224" s="13"/>
      <c r="F224" s="12"/>
      <c r="G224" s="14"/>
      <c r="H224" s="1"/>
    </row>
    <row r="225" spans="1:8" customFormat="1" x14ac:dyDescent="0.2">
      <c r="A225" s="9"/>
      <c r="B225" s="10"/>
      <c r="C225" s="11"/>
      <c r="D225" s="12"/>
      <c r="E225" s="13"/>
      <c r="F225" s="12"/>
      <c r="G225" s="14"/>
      <c r="H225" s="1"/>
    </row>
    <row r="226" spans="1:8" customFormat="1" x14ac:dyDescent="0.2">
      <c r="A226" s="9"/>
      <c r="B226" s="10"/>
      <c r="C226" s="11"/>
      <c r="D226" s="12"/>
      <c r="E226" s="13"/>
      <c r="F226" s="12"/>
      <c r="G226" s="14"/>
      <c r="H226" s="1"/>
    </row>
    <row r="227" spans="1:8" customFormat="1" x14ac:dyDescent="0.2">
      <c r="A227" s="9"/>
      <c r="B227" s="10"/>
      <c r="C227" s="11"/>
      <c r="D227" s="12"/>
      <c r="E227" s="13"/>
      <c r="F227" s="12"/>
      <c r="G227" s="14"/>
      <c r="H227" s="1"/>
    </row>
    <row r="228" spans="1:8" customFormat="1" x14ac:dyDescent="0.2">
      <c r="A228" s="9"/>
      <c r="B228" s="10"/>
      <c r="C228" s="11"/>
      <c r="D228" s="12"/>
      <c r="E228" s="13"/>
      <c r="F228" s="12"/>
      <c r="G228" s="14"/>
      <c r="H228" s="1"/>
    </row>
    <row r="229" spans="1:8" customFormat="1" x14ac:dyDescent="0.2">
      <c r="A229" s="9"/>
      <c r="B229" s="10"/>
      <c r="C229" s="11"/>
      <c r="D229" s="12"/>
      <c r="E229" s="13"/>
      <c r="F229" s="12"/>
      <c r="G229" s="14"/>
      <c r="H229" s="1"/>
    </row>
    <row r="230" spans="1:8" customFormat="1" x14ac:dyDescent="0.2">
      <c r="A230" s="9"/>
      <c r="B230" s="10"/>
      <c r="C230" s="11"/>
      <c r="D230" s="12"/>
      <c r="E230" s="13"/>
      <c r="F230" s="12"/>
      <c r="G230" s="14"/>
      <c r="H230" s="1"/>
    </row>
    <row r="231" spans="1:8" customFormat="1" x14ac:dyDescent="0.2">
      <c r="A231" s="9"/>
      <c r="B231" s="10"/>
      <c r="C231" s="11"/>
      <c r="D231" s="12"/>
      <c r="E231" s="13"/>
      <c r="F231" s="12"/>
      <c r="G231" s="14"/>
      <c r="H231" s="1"/>
    </row>
    <row r="232" spans="1:8" customFormat="1" x14ac:dyDescent="0.2">
      <c r="A232" s="9"/>
      <c r="B232" s="10"/>
      <c r="C232" s="11"/>
      <c r="D232" s="12"/>
      <c r="E232" s="13"/>
      <c r="F232" s="12"/>
      <c r="G232" s="14"/>
      <c r="H232" s="1"/>
    </row>
    <row r="233" spans="1:8" customFormat="1" x14ac:dyDescent="0.2">
      <c r="A233" s="9"/>
      <c r="B233" s="10"/>
      <c r="C233" s="11"/>
      <c r="D233" s="12"/>
      <c r="E233" s="13"/>
      <c r="F233" s="12"/>
      <c r="G233" s="14"/>
      <c r="H233" s="1"/>
    </row>
    <row r="234" spans="1:8" customFormat="1" x14ac:dyDescent="0.2">
      <c r="A234" s="9"/>
      <c r="B234" s="10"/>
      <c r="C234" s="11"/>
      <c r="D234" s="12"/>
      <c r="E234" s="13"/>
      <c r="F234" s="12"/>
      <c r="G234" s="14"/>
      <c r="H234" s="1"/>
    </row>
    <row r="235" spans="1:8" customFormat="1" x14ac:dyDescent="0.2">
      <c r="A235" s="9"/>
      <c r="B235" s="10"/>
      <c r="C235" s="11"/>
      <c r="D235" s="12"/>
      <c r="E235" s="13"/>
      <c r="F235" s="12"/>
      <c r="G235" s="14"/>
      <c r="H235" s="1"/>
    </row>
    <row r="236" spans="1:8" customFormat="1" x14ac:dyDescent="0.2">
      <c r="A236" s="9"/>
      <c r="B236" s="10"/>
      <c r="C236" s="11"/>
      <c r="D236" s="12"/>
      <c r="E236" s="13"/>
      <c r="F236" s="12"/>
      <c r="G236" s="14"/>
      <c r="H236" s="1"/>
    </row>
    <row r="237" spans="1:8" customFormat="1" x14ac:dyDescent="0.2">
      <c r="A237" s="9"/>
      <c r="B237" s="10"/>
      <c r="C237" s="11"/>
      <c r="D237" s="12"/>
      <c r="E237" s="13"/>
      <c r="F237" s="12"/>
      <c r="G237" s="14"/>
      <c r="H237" s="1"/>
    </row>
    <row r="238" spans="1:8" customFormat="1" x14ac:dyDescent="0.2">
      <c r="A238" s="9"/>
      <c r="B238" s="10"/>
      <c r="C238" s="11"/>
      <c r="D238" s="12"/>
      <c r="E238" s="13"/>
      <c r="F238" s="12"/>
      <c r="G238" s="14"/>
      <c r="H238" s="1"/>
    </row>
    <row r="239" spans="1:8" customFormat="1" x14ac:dyDescent="0.2">
      <c r="A239" s="9"/>
      <c r="B239" s="10"/>
      <c r="C239" s="11"/>
      <c r="D239" s="12"/>
      <c r="E239" s="13"/>
      <c r="F239" s="12"/>
      <c r="G239" s="14"/>
      <c r="H239" s="1"/>
    </row>
    <row r="240" spans="1:8" customFormat="1" x14ac:dyDescent="0.2">
      <c r="A240" s="9"/>
      <c r="B240" s="10"/>
      <c r="C240" s="11"/>
      <c r="D240" s="12"/>
      <c r="E240" s="13"/>
      <c r="F240" s="12"/>
      <c r="G240" s="14"/>
      <c r="H240" s="1"/>
    </row>
    <row r="241" spans="1:8" customFormat="1" x14ac:dyDescent="0.2">
      <c r="A241" s="9"/>
      <c r="B241" s="10"/>
      <c r="C241" s="11"/>
      <c r="D241" s="12"/>
      <c r="E241" s="13"/>
      <c r="F241" s="12"/>
      <c r="G241" s="14"/>
      <c r="H241" s="1"/>
    </row>
    <row r="242" spans="1:8" customFormat="1" x14ac:dyDescent="0.2">
      <c r="A242" s="9"/>
      <c r="B242" s="10"/>
      <c r="C242" s="11"/>
      <c r="D242" s="12"/>
      <c r="E242" s="13"/>
      <c r="F242" s="12"/>
      <c r="G242" s="14"/>
      <c r="H242" s="1"/>
    </row>
    <row r="243" spans="1:8" customFormat="1" x14ac:dyDescent="0.2">
      <c r="A243" s="9"/>
      <c r="B243" s="10"/>
      <c r="C243" s="11"/>
      <c r="D243" s="12"/>
      <c r="E243" s="13"/>
      <c r="F243" s="12"/>
      <c r="G243" s="14"/>
      <c r="H243" s="1"/>
    </row>
    <row r="244" spans="1:8" customFormat="1" x14ac:dyDescent="0.2">
      <c r="A244" s="9"/>
      <c r="B244" s="10"/>
      <c r="C244" s="11"/>
      <c r="D244" s="12"/>
      <c r="E244" s="13"/>
      <c r="F244" s="12"/>
      <c r="G244" s="14"/>
      <c r="H244" s="1"/>
    </row>
    <row r="245" spans="1:8" customFormat="1" x14ac:dyDescent="0.2">
      <c r="A245" s="9"/>
      <c r="B245" s="10"/>
      <c r="C245" s="11"/>
      <c r="D245" s="12"/>
      <c r="E245" s="13"/>
      <c r="F245" s="12"/>
      <c r="G245" s="14"/>
      <c r="H245" s="1"/>
    </row>
    <row r="246" spans="1:8" customFormat="1" x14ac:dyDescent="0.2">
      <c r="A246" s="9"/>
      <c r="B246" s="10"/>
      <c r="C246" s="11"/>
      <c r="D246" s="12"/>
      <c r="E246" s="13"/>
      <c r="F246" s="12"/>
      <c r="G246" s="14"/>
      <c r="H246" s="1"/>
    </row>
    <row r="247" spans="1:8" customFormat="1" x14ac:dyDescent="0.2">
      <c r="A247" s="9"/>
      <c r="B247" s="10"/>
      <c r="C247" s="11"/>
      <c r="D247" s="12"/>
      <c r="E247" s="13"/>
      <c r="F247" s="12"/>
      <c r="G247" s="14"/>
      <c r="H247" s="1"/>
    </row>
    <row r="248" spans="1:8" customFormat="1" x14ac:dyDescent="0.2">
      <c r="A248" s="9"/>
      <c r="B248" s="10"/>
      <c r="C248" s="11"/>
      <c r="D248" s="12"/>
      <c r="E248" s="13"/>
      <c r="F248" s="12"/>
      <c r="G248" s="14"/>
      <c r="H248" s="1"/>
    </row>
    <row r="249" spans="1:8" customFormat="1" x14ac:dyDescent="0.2">
      <c r="A249" s="9"/>
      <c r="B249" s="10"/>
      <c r="C249" s="11"/>
      <c r="D249" s="12"/>
      <c r="E249" s="13"/>
      <c r="F249" s="12"/>
      <c r="G249" s="14"/>
      <c r="H249" s="1"/>
    </row>
    <row r="250" spans="1:8" customFormat="1" x14ac:dyDescent="0.2">
      <c r="A250" s="9"/>
      <c r="B250" s="10"/>
      <c r="C250" s="11"/>
      <c r="D250" s="12"/>
      <c r="E250" s="13"/>
      <c r="F250" s="12"/>
      <c r="G250" s="14"/>
      <c r="H250" s="1"/>
    </row>
    <row r="251" spans="1:8" customFormat="1" x14ac:dyDescent="0.2">
      <c r="A251" s="9"/>
      <c r="B251" s="10"/>
      <c r="C251" s="11"/>
      <c r="D251" s="12"/>
      <c r="E251" s="13"/>
      <c r="F251" s="12"/>
      <c r="G251" s="14"/>
      <c r="H251" s="1"/>
    </row>
    <row r="252" spans="1:8" customFormat="1" x14ac:dyDescent="0.2">
      <c r="A252" s="9"/>
      <c r="B252" s="10"/>
      <c r="C252" s="11"/>
      <c r="D252" s="12"/>
      <c r="E252" s="13"/>
      <c r="F252" s="12"/>
      <c r="G252" s="14"/>
      <c r="H252" s="1"/>
    </row>
    <row r="253" spans="1:8" customFormat="1" x14ac:dyDescent="0.2">
      <c r="A253" s="9"/>
      <c r="B253" s="10"/>
      <c r="C253" s="11"/>
      <c r="D253" s="12"/>
      <c r="E253" s="13"/>
      <c r="F253" s="12"/>
      <c r="G253" s="14"/>
      <c r="H253" s="1"/>
    </row>
    <row r="254" spans="1:8" customFormat="1" x14ac:dyDescent="0.2">
      <c r="A254" s="9"/>
      <c r="B254" s="10"/>
      <c r="C254" s="11"/>
      <c r="D254" s="12"/>
      <c r="E254" s="13"/>
      <c r="F254" s="12"/>
      <c r="G254" s="14"/>
      <c r="H254" s="1"/>
    </row>
    <row r="255" spans="1:8" customFormat="1" x14ac:dyDescent="0.2">
      <c r="A255" s="9"/>
      <c r="B255" s="10"/>
      <c r="C255" s="11"/>
      <c r="D255" s="12"/>
      <c r="E255" s="13"/>
      <c r="F255" s="12"/>
      <c r="G255" s="14"/>
      <c r="H255" s="1"/>
    </row>
    <row r="256" spans="1:8" customFormat="1" x14ac:dyDescent="0.2">
      <c r="A256" s="9"/>
      <c r="B256" s="10"/>
      <c r="C256" s="11"/>
      <c r="D256" s="12"/>
      <c r="E256" s="13"/>
      <c r="F256" s="12"/>
      <c r="G256" s="14"/>
      <c r="H256" s="1"/>
    </row>
    <row r="257" spans="1:8" customFormat="1" x14ac:dyDescent="0.2">
      <c r="A257" s="9"/>
      <c r="B257" s="10"/>
      <c r="C257" s="11"/>
      <c r="D257" s="12"/>
      <c r="E257" s="13"/>
      <c r="F257" s="12"/>
      <c r="G257" s="14"/>
      <c r="H257" s="1"/>
    </row>
    <row r="258" spans="1:8" customFormat="1" x14ac:dyDescent="0.2">
      <c r="A258" s="9"/>
      <c r="B258" s="10"/>
      <c r="C258" s="11"/>
      <c r="D258" s="12"/>
      <c r="E258" s="13"/>
      <c r="F258" s="12"/>
      <c r="G258" s="14"/>
      <c r="H258" s="1"/>
    </row>
    <row r="259" spans="1:8" customFormat="1" x14ac:dyDescent="0.2">
      <c r="A259" s="9"/>
      <c r="B259" s="10"/>
      <c r="C259" s="11"/>
      <c r="D259" s="12"/>
      <c r="E259" s="13"/>
      <c r="F259" s="12"/>
      <c r="G259" s="14"/>
      <c r="H259" s="1"/>
    </row>
    <row r="260" spans="1:8" customFormat="1" x14ac:dyDescent="0.2">
      <c r="A260" s="9"/>
      <c r="B260" s="10"/>
      <c r="C260" s="11"/>
      <c r="D260" s="12"/>
      <c r="E260" s="13"/>
      <c r="F260" s="12"/>
      <c r="G260" s="14"/>
      <c r="H260" s="1"/>
    </row>
    <row r="261" spans="1:8" customFormat="1" x14ac:dyDescent="0.2">
      <c r="A261" s="9"/>
      <c r="B261" s="10"/>
      <c r="C261" s="11"/>
      <c r="D261" s="12"/>
      <c r="E261" s="13"/>
      <c r="F261" s="12"/>
      <c r="G261" s="14"/>
      <c r="H261" s="1"/>
    </row>
    <row r="262" spans="1:8" customFormat="1" ht="13.5" thickBot="1" x14ac:dyDescent="0.25">
      <c r="A262" s="15"/>
      <c r="B262" s="16"/>
      <c r="C262" s="17"/>
      <c r="D262" s="18"/>
      <c r="E262" s="19"/>
      <c r="F262" s="18"/>
      <c r="G262" s="20"/>
      <c r="H262" s="1"/>
    </row>
    <row r="263" spans="1:8" customFormat="1" x14ac:dyDescent="0.2">
      <c r="A263" s="1"/>
      <c r="B263" s="1"/>
      <c r="C263" s="1"/>
      <c r="D263" s="1"/>
      <c r="E263" s="1"/>
      <c r="F263" s="1"/>
      <c r="G263" s="1"/>
      <c r="H263" s="1"/>
    </row>
    <row r="264" spans="1:8" customFormat="1" x14ac:dyDescent="0.2">
      <c r="A264" s="1"/>
      <c r="B264" s="1"/>
      <c r="C264" s="1"/>
      <c r="D264" s="1"/>
      <c r="E264" s="1"/>
      <c r="F264" s="1"/>
      <c r="G264" s="1"/>
      <c r="H264" s="1"/>
    </row>
    <row r="265" spans="1:8" customFormat="1" x14ac:dyDescent="0.2">
      <c r="A265" s="1"/>
      <c r="B265" s="1"/>
      <c r="C265" s="1"/>
      <c r="D265" s="1"/>
      <c r="E265" s="1"/>
      <c r="F265" s="1"/>
      <c r="G265" s="1"/>
      <c r="H265" s="1"/>
    </row>
    <row r="266" spans="1:8" customFormat="1" x14ac:dyDescent="0.2">
      <c r="A266" s="1"/>
      <c r="B266" s="1"/>
      <c r="C266" s="1"/>
      <c r="D266" s="1"/>
      <c r="E266" s="1"/>
      <c r="F266" s="1"/>
      <c r="G266" s="1"/>
      <c r="H266" s="1"/>
    </row>
    <row r="267" spans="1:8" customFormat="1" x14ac:dyDescent="0.2">
      <c r="A267" s="21"/>
      <c r="B267" s="21"/>
      <c r="C267" s="21"/>
      <c r="D267" s="21"/>
      <c r="E267" s="21"/>
      <c r="F267" s="21"/>
      <c r="G267" s="21"/>
      <c r="H267" s="21"/>
    </row>
    <row r="268" spans="1:8" customFormat="1" x14ac:dyDescent="0.2">
      <c r="A268" s="21"/>
      <c r="B268" s="21"/>
      <c r="C268" s="21"/>
      <c r="D268" s="21"/>
      <c r="E268" s="21"/>
      <c r="F268" s="21"/>
      <c r="G268" s="21"/>
      <c r="H268" s="21"/>
    </row>
    <row r="269" spans="1:8" customFormat="1" x14ac:dyDescent="0.2">
      <c r="A269" s="21"/>
      <c r="B269" s="21"/>
      <c r="C269" s="21"/>
      <c r="D269" s="21"/>
      <c r="E269" s="21"/>
      <c r="F269" s="21"/>
      <c r="G269" s="21"/>
      <c r="H269" s="21"/>
    </row>
    <row r="270" spans="1:8" customFormat="1" x14ac:dyDescent="0.2">
      <c r="A270" s="21"/>
      <c r="B270" s="21"/>
      <c r="C270" s="21"/>
      <c r="D270" s="21"/>
      <c r="E270" s="21"/>
      <c r="F270" s="21"/>
      <c r="G270" s="21"/>
      <c r="H270" s="21"/>
    </row>
    <row r="271" spans="1:8" customFormat="1" x14ac:dyDescent="0.2">
      <c r="A271" s="21"/>
      <c r="B271" s="21"/>
      <c r="C271" s="21"/>
      <c r="D271" s="21"/>
      <c r="E271" s="21"/>
      <c r="F271" s="21"/>
      <c r="G271" s="21"/>
      <c r="H271" s="21"/>
    </row>
  </sheetData>
  <mergeCells count="1">
    <mergeCell ref="A1:G1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N271"/>
  <sheetViews>
    <sheetView workbookViewId="0">
      <selection activeCell="B4" sqref="B4"/>
    </sheetView>
  </sheetViews>
  <sheetFormatPr baseColWidth="10" defaultRowHeight="12.75" x14ac:dyDescent="0.2"/>
  <cols>
    <col min="2" max="2" width="12" customWidth="1"/>
    <col min="3" max="3" width="24" bestFit="1" customWidth="1"/>
    <col min="4" max="4" width="8.28515625" bestFit="1" customWidth="1"/>
    <col min="5" max="5" width="16.7109375" bestFit="1" customWidth="1"/>
    <col min="6" max="6" width="16.7109375" customWidth="1"/>
    <col min="7" max="7" width="15.28515625" customWidth="1"/>
    <col min="9" max="14" width="11.42578125" style="21"/>
  </cols>
  <sheetData>
    <row r="1" spans="1:8" customFormat="1" ht="15.75" x14ac:dyDescent="0.25">
      <c r="A1" s="65" t="s">
        <v>161</v>
      </c>
      <c r="B1" s="66"/>
      <c r="C1" s="66"/>
      <c r="D1" s="66"/>
      <c r="E1" s="66"/>
      <c r="F1" s="66"/>
      <c r="G1" s="66"/>
      <c r="H1" s="1"/>
    </row>
    <row r="2" spans="1:8" customFormat="1" ht="13.5" thickBot="1" x14ac:dyDescent="0.25">
      <c r="A2" s="1"/>
      <c r="B2" s="1"/>
      <c r="C2" s="1"/>
      <c r="D2" s="1"/>
      <c r="E2" s="1"/>
      <c r="F2" s="1"/>
      <c r="G2" s="1"/>
      <c r="H2" s="1"/>
    </row>
    <row r="3" spans="1:8" customFormat="1" ht="13.5" thickBot="1" x14ac:dyDescent="0.25">
      <c r="A3" s="2" t="s">
        <v>1</v>
      </c>
      <c r="B3" s="3" t="s">
        <v>2</v>
      </c>
      <c r="C3" s="4" t="s">
        <v>3</v>
      </c>
      <c r="D3" s="5" t="s">
        <v>4</v>
      </c>
      <c r="E3" s="6" t="s">
        <v>5</v>
      </c>
      <c r="F3" s="5" t="s">
        <v>6</v>
      </c>
      <c r="G3" s="7" t="s">
        <v>7</v>
      </c>
      <c r="H3" s="1"/>
    </row>
    <row r="4" spans="1:8" customFormat="1" x14ac:dyDescent="0.2">
      <c r="A4" s="8"/>
      <c r="B4" s="55" t="s">
        <v>128</v>
      </c>
      <c r="C4" s="50">
        <v>4</v>
      </c>
      <c r="D4" s="57">
        <v>308</v>
      </c>
      <c r="E4" s="60">
        <v>0.42849330051955153</v>
      </c>
      <c r="F4" s="57">
        <v>29.929000000000002</v>
      </c>
      <c r="G4" s="58" t="s">
        <v>107</v>
      </c>
      <c r="H4" s="1"/>
    </row>
    <row r="5" spans="1:8" customFormat="1" x14ac:dyDescent="0.2">
      <c r="A5" s="9"/>
      <c r="B5" s="52" t="s">
        <v>138</v>
      </c>
      <c r="C5" s="54">
        <v>4</v>
      </c>
      <c r="D5" s="56">
        <v>127</v>
      </c>
      <c r="E5" s="61">
        <v>0.37899917965545526</v>
      </c>
      <c r="F5" s="56">
        <v>60.378</v>
      </c>
      <c r="G5" s="59" t="s">
        <v>107</v>
      </c>
      <c r="H5" s="1"/>
    </row>
    <row r="6" spans="1:8" customFormat="1" x14ac:dyDescent="0.2">
      <c r="A6" s="9"/>
      <c r="B6" s="52" t="s">
        <v>152</v>
      </c>
      <c r="C6" s="54">
        <v>14</v>
      </c>
      <c r="D6" s="56">
        <v>25</v>
      </c>
      <c r="E6" s="61">
        <v>0.35110746513535684</v>
      </c>
      <c r="F6" s="56">
        <v>97.342999999999989</v>
      </c>
      <c r="G6" s="59" t="s">
        <v>107</v>
      </c>
      <c r="H6" s="1"/>
    </row>
    <row r="7" spans="1:8" customFormat="1" x14ac:dyDescent="0.2">
      <c r="A7" s="9"/>
      <c r="B7" s="52" t="s">
        <v>140</v>
      </c>
      <c r="C7" s="54">
        <v>4</v>
      </c>
      <c r="D7" s="56">
        <v>87</v>
      </c>
      <c r="E7" s="61">
        <v>0.36806125239267157</v>
      </c>
      <c r="F7" s="56">
        <v>15.411000000000001</v>
      </c>
      <c r="G7" s="59" t="s">
        <v>107</v>
      </c>
      <c r="H7" s="1"/>
    </row>
    <row r="8" spans="1:8" customFormat="1" x14ac:dyDescent="0.2">
      <c r="A8" s="9"/>
      <c r="B8" s="52" t="s">
        <v>109</v>
      </c>
      <c r="C8" s="54">
        <v>16</v>
      </c>
      <c r="D8" s="56">
        <v>1286</v>
      </c>
      <c r="E8" s="61">
        <v>0.69592562209461306</v>
      </c>
      <c r="F8" s="56">
        <v>347.29499999999996</v>
      </c>
      <c r="G8" s="59" t="s">
        <v>107</v>
      </c>
      <c r="H8" s="1"/>
    </row>
    <row r="9" spans="1:8" customFormat="1" x14ac:dyDescent="0.2">
      <c r="A9" s="9"/>
      <c r="B9" s="52" t="s">
        <v>147</v>
      </c>
      <c r="C9" s="54">
        <v>16</v>
      </c>
      <c r="D9" s="56">
        <v>72</v>
      </c>
      <c r="E9" s="61">
        <v>0.3639595296691277</v>
      </c>
      <c r="F9" s="56">
        <v>77.995999999999995</v>
      </c>
      <c r="G9" s="59" t="s">
        <v>107</v>
      </c>
      <c r="H9" s="1"/>
    </row>
    <row r="10" spans="1:8" customFormat="1" x14ac:dyDescent="0.2">
      <c r="A10" s="9"/>
      <c r="B10" s="52" t="s">
        <v>132</v>
      </c>
      <c r="C10" s="54">
        <v>3</v>
      </c>
      <c r="D10" s="56">
        <v>186</v>
      </c>
      <c r="E10" s="61">
        <v>0.39513262236806124</v>
      </c>
      <c r="F10" s="56">
        <v>16.535999999999998</v>
      </c>
      <c r="G10" s="59" t="s">
        <v>107</v>
      </c>
      <c r="H10" s="1"/>
    </row>
    <row r="11" spans="1:8" customFormat="1" x14ac:dyDescent="0.2">
      <c r="A11" s="9"/>
      <c r="B11" s="52" t="s">
        <v>144</v>
      </c>
      <c r="C11" s="54">
        <v>1</v>
      </c>
      <c r="D11" s="56">
        <v>79</v>
      </c>
      <c r="E11" s="61">
        <v>0.36587366694011486</v>
      </c>
      <c r="F11" s="56">
        <v>30.841999999999999</v>
      </c>
      <c r="G11" s="59" t="s">
        <v>107</v>
      </c>
      <c r="H11" s="1"/>
    </row>
    <row r="12" spans="1:8" customFormat="1" x14ac:dyDescent="0.2">
      <c r="A12" s="9"/>
      <c r="B12" s="52" t="s">
        <v>154</v>
      </c>
      <c r="C12" s="54">
        <v>16</v>
      </c>
      <c r="D12" s="56">
        <v>0</v>
      </c>
      <c r="E12" s="61">
        <v>0.34427126059611701</v>
      </c>
      <c r="F12" s="56">
        <v>191.541</v>
      </c>
      <c r="G12" s="59" t="s">
        <v>107</v>
      </c>
      <c r="H12" s="1"/>
    </row>
    <row r="13" spans="1:8" customFormat="1" x14ac:dyDescent="0.2">
      <c r="A13" s="9"/>
      <c r="B13" s="52" t="s">
        <v>180</v>
      </c>
      <c r="C13" s="54">
        <v>16</v>
      </c>
      <c r="D13" s="56">
        <v>414.5</v>
      </c>
      <c r="E13" s="61">
        <v>0.45761553185671316</v>
      </c>
      <c r="F13" s="56">
        <v>276.10399999999998</v>
      </c>
      <c r="G13" s="59" t="s">
        <v>107</v>
      </c>
      <c r="H13" s="1"/>
    </row>
    <row r="14" spans="1:8" customFormat="1" x14ac:dyDescent="0.2">
      <c r="A14" s="9"/>
      <c r="B14" s="52" t="s">
        <v>111</v>
      </c>
      <c r="C14" s="54">
        <v>16</v>
      </c>
      <c r="D14" s="56">
        <v>593</v>
      </c>
      <c r="E14" s="61">
        <v>0.50642603226688543</v>
      </c>
      <c r="F14" s="56">
        <v>412.8769999999999</v>
      </c>
      <c r="G14" s="59" t="s">
        <v>107</v>
      </c>
      <c r="H14" s="1"/>
    </row>
    <row r="15" spans="1:8" customFormat="1" x14ac:dyDescent="0.2">
      <c r="A15" s="9"/>
      <c r="B15" s="52" t="s">
        <v>119</v>
      </c>
      <c r="C15" s="54">
        <v>16</v>
      </c>
      <c r="D15" s="56">
        <v>1309</v>
      </c>
      <c r="E15" s="61">
        <v>0.70221493027071369</v>
      </c>
      <c r="F15" s="56">
        <v>364.58100000000002</v>
      </c>
      <c r="G15" s="59" t="s">
        <v>107</v>
      </c>
      <c r="H15" s="1"/>
    </row>
    <row r="16" spans="1:8" customFormat="1" x14ac:dyDescent="0.2">
      <c r="A16" s="9"/>
      <c r="B16" s="52" t="s">
        <v>131</v>
      </c>
      <c r="C16" s="54">
        <v>4</v>
      </c>
      <c r="D16" s="56">
        <v>247</v>
      </c>
      <c r="E16" s="61">
        <v>0.41181296144380641</v>
      </c>
      <c r="F16" s="56">
        <v>45.313000000000002</v>
      </c>
      <c r="G16" s="59" t="s">
        <v>107</v>
      </c>
      <c r="H16" s="1"/>
    </row>
    <row r="17" spans="1:8" customFormat="1" x14ac:dyDescent="0.2">
      <c r="A17" s="9"/>
      <c r="B17" s="52" t="s">
        <v>131</v>
      </c>
      <c r="C17" s="54">
        <v>4</v>
      </c>
      <c r="D17" s="56">
        <v>232</v>
      </c>
      <c r="E17" s="61">
        <v>0.40771123872026249</v>
      </c>
      <c r="F17" s="56">
        <v>53.783000000000001</v>
      </c>
      <c r="G17" s="59" t="s">
        <v>107</v>
      </c>
      <c r="H17" s="1"/>
    </row>
    <row r="18" spans="1:8" customFormat="1" x14ac:dyDescent="0.2">
      <c r="A18" s="9"/>
      <c r="B18" s="52" t="s">
        <v>110</v>
      </c>
      <c r="C18" s="54">
        <v>16</v>
      </c>
      <c r="D18" s="56">
        <v>874.5</v>
      </c>
      <c r="E18" s="61">
        <v>0.58340169537872577</v>
      </c>
      <c r="F18" s="56">
        <v>225.41500000000002</v>
      </c>
      <c r="G18" s="59" t="s">
        <v>107</v>
      </c>
      <c r="H18" s="1"/>
    </row>
    <row r="19" spans="1:8" customFormat="1" x14ac:dyDescent="0.2">
      <c r="A19" s="9"/>
      <c r="B19" s="52" t="s">
        <v>148</v>
      </c>
      <c r="C19" s="54">
        <v>3</v>
      </c>
      <c r="D19" s="56">
        <v>57</v>
      </c>
      <c r="E19" s="61">
        <v>0.35985780694558384</v>
      </c>
      <c r="F19" s="56">
        <v>24.43</v>
      </c>
      <c r="G19" s="59" t="s">
        <v>107</v>
      </c>
      <c r="H19" s="1"/>
    </row>
    <row r="20" spans="1:8" customFormat="1" x14ac:dyDescent="0.2">
      <c r="A20" s="9"/>
      <c r="B20" s="52" t="s">
        <v>181</v>
      </c>
      <c r="C20" s="54">
        <v>16</v>
      </c>
      <c r="D20" s="56">
        <v>-397</v>
      </c>
      <c r="E20" s="61">
        <v>0.23571233251298879</v>
      </c>
      <c r="F20" s="56">
        <v>67.683999999999997</v>
      </c>
      <c r="G20" s="59" t="s">
        <v>107</v>
      </c>
      <c r="H20" s="1"/>
    </row>
    <row r="21" spans="1:8" customFormat="1" x14ac:dyDescent="0.2">
      <c r="A21" s="9"/>
      <c r="B21" s="52" t="s">
        <v>108</v>
      </c>
      <c r="C21" s="54">
        <v>16</v>
      </c>
      <c r="D21" s="56">
        <v>1448</v>
      </c>
      <c r="E21" s="61">
        <v>0.74022422750888706</v>
      </c>
      <c r="F21" s="56">
        <v>261.86900000000003</v>
      </c>
      <c r="G21" s="59" t="s">
        <v>107</v>
      </c>
      <c r="H21" s="1"/>
    </row>
    <row r="22" spans="1:8" customFormat="1" x14ac:dyDescent="0.2">
      <c r="A22" s="9"/>
      <c r="B22" s="52" t="s">
        <v>160</v>
      </c>
      <c r="C22" s="54">
        <v>16</v>
      </c>
      <c r="D22" s="56">
        <v>487</v>
      </c>
      <c r="E22" s="61">
        <v>0.4774405250205086</v>
      </c>
      <c r="F22" s="56">
        <v>211.38499999999999</v>
      </c>
      <c r="G22" s="59" t="s">
        <v>107</v>
      </c>
      <c r="H22" s="1"/>
    </row>
    <row r="23" spans="1:8" customFormat="1" x14ac:dyDescent="0.2">
      <c r="A23" s="9"/>
      <c r="B23" s="52" t="s">
        <v>106</v>
      </c>
      <c r="C23" s="54">
        <v>16</v>
      </c>
      <c r="D23" s="56">
        <v>1766</v>
      </c>
      <c r="E23" s="61">
        <v>0.82718074924801754</v>
      </c>
      <c r="F23" s="56">
        <v>219.65899999999996</v>
      </c>
      <c r="G23" s="59" t="s">
        <v>107</v>
      </c>
      <c r="H23" s="1"/>
    </row>
    <row r="24" spans="1:8" customFormat="1" x14ac:dyDescent="0.2">
      <c r="A24" s="9"/>
      <c r="B24" s="52" t="s">
        <v>129</v>
      </c>
      <c r="C24" s="54">
        <v>4</v>
      </c>
      <c r="D24" s="56">
        <v>293</v>
      </c>
      <c r="E24" s="61">
        <v>0.42439157779600767</v>
      </c>
      <c r="F24" s="56">
        <v>67.831000000000003</v>
      </c>
      <c r="G24" s="59" t="s">
        <v>107</v>
      </c>
      <c r="H24" s="1"/>
    </row>
    <row r="25" spans="1:8" customFormat="1" x14ac:dyDescent="0.2">
      <c r="A25" s="9"/>
      <c r="B25" s="52" t="s">
        <v>159</v>
      </c>
      <c r="C25" s="54">
        <v>16</v>
      </c>
      <c r="D25" s="56">
        <v>176</v>
      </c>
      <c r="E25" s="61">
        <v>0.39239814055236533</v>
      </c>
      <c r="F25" s="56">
        <v>208.78900000000002</v>
      </c>
      <c r="G25" s="59" t="s">
        <v>107</v>
      </c>
      <c r="H25" s="1"/>
    </row>
    <row r="26" spans="1:8" customFormat="1" x14ac:dyDescent="0.2">
      <c r="A26" s="9"/>
      <c r="B26" s="52" t="s">
        <v>112</v>
      </c>
      <c r="C26" s="54">
        <v>16</v>
      </c>
      <c r="D26" s="56">
        <v>1084.5</v>
      </c>
      <c r="E26" s="61">
        <v>0.64082581350834011</v>
      </c>
      <c r="F26" s="56">
        <v>506.27199999999993</v>
      </c>
      <c r="G26" s="59" t="s">
        <v>107</v>
      </c>
      <c r="H26" s="1"/>
    </row>
    <row r="27" spans="1:8" customFormat="1" x14ac:dyDescent="0.2">
      <c r="A27" s="9"/>
      <c r="B27" s="52" t="s">
        <v>153</v>
      </c>
      <c r="C27" s="54">
        <v>1</v>
      </c>
      <c r="D27" s="56">
        <v>0</v>
      </c>
      <c r="E27" s="61">
        <v>0.34427126059611701</v>
      </c>
      <c r="F27" s="56">
        <v>9.3620000000000001</v>
      </c>
      <c r="G27" s="59" t="s">
        <v>107</v>
      </c>
      <c r="H27" s="1"/>
    </row>
    <row r="28" spans="1:8" customFormat="1" x14ac:dyDescent="0.2">
      <c r="A28" s="9"/>
      <c r="B28" s="52" t="s">
        <v>141</v>
      </c>
      <c r="C28" s="54">
        <v>1</v>
      </c>
      <c r="D28" s="56">
        <v>84</v>
      </c>
      <c r="E28" s="61">
        <v>0.36724090784796282</v>
      </c>
      <c r="F28" s="56">
        <v>21.844000000000001</v>
      </c>
      <c r="G28" s="59" t="s">
        <v>107</v>
      </c>
      <c r="H28" s="1"/>
    </row>
    <row r="29" spans="1:8" customFormat="1" x14ac:dyDescent="0.2">
      <c r="A29" s="9"/>
      <c r="B29" s="52" t="s">
        <v>120</v>
      </c>
      <c r="C29" s="54">
        <v>16</v>
      </c>
      <c r="D29" s="56">
        <v>228.5</v>
      </c>
      <c r="E29" s="61">
        <v>0.40675417008476894</v>
      </c>
      <c r="F29" s="56">
        <v>516.67100000000005</v>
      </c>
      <c r="G29" s="59" t="s">
        <v>107</v>
      </c>
      <c r="H29" s="1"/>
    </row>
    <row r="30" spans="1:8" customFormat="1" x14ac:dyDescent="0.2">
      <c r="A30" s="9"/>
      <c r="B30" s="52" t="s">
        <v>156</v>
      </c>
      <c r="C30" s="54">
        <v>16</v>
      </c>
      <c r="D30" s="56">
        <v>-95.5</v>
      </c>
      <c r="E30" s="61">
        <v>0.31815695925622095</v>
      </c>
      <c r="F30" s="56">
        <v>584.00799999999992</v>
      </c>
      <c r="G30" s="59" t="s">
        <v>107</v>
      </c>
      <c r="H30" s="1"/>
    </row>
    <row r="31" spans="1:8" customFormat="1" x14ac:dyDescent="0.2">
      <c r="A31" s="9"/>
      <c r="B31" s="52" t="s">
        <v>135</v>
      </c>
      <c r="C31" s="54">
        <v>16</v>
      </c>
      <c r="D31" s="56">
        <v>1284</v>
      </c>
      <c r="E31" s="61">
        <v>0.69537872573147386</v>
      </c>
      <c r="F31" s="56">
        <v>266.89400000000001</v>
      </c>
      <c r="G31" s="59" t="s">
        <v>107</v>
      </c>
      <c r="H31" s="1"/>
    </row>
    <row r="32" spans="1:8" customFormat="1" x14ac:dyDescent="0.2">
      <c r="A32" s="9"/>
      <c r="B32" s="52" t="s">
        <v>127</v>
      </c>
      <c r="C32" s="54">
        <v>16</v>
      </c>
      <c r="D32" s="56">
        <v>588.75</v>
      </c>
      <c r="E32" s="61">
        <v>0.50526387749521462</v>
      </c>
      <c r="F32" s="56">
        <v>356.49900000000002</v>
      </c>
      <c r="G32" s="59" t="s">
        <v>107</v>
      </c>
      <c r="H32" s="1"/>
    </row>
    <row r="33" spans="1:8" customFormat="1" x14ac:dyDescent="0.2">
      <c r="A33" s="9"/>
      <c r="B33" s="52" t="s">
        <v>117</v>
      </c>
      <c r="C33" s="54">
        <v>16</v>
      </c>
      <c r="D33" s="56">
        <v>626.5</v>
      </c>
      <c r="E33" s="61">
        <v>0.51558654634946677</v>
      </c>
      <c r="F33" s="56">
        <v>323.04999999999995</v>
      </c>
      <c r="G33" s="59" t="s">
        <v>107</v>
      </c>
      <c r="H33" s="1"/>
    </row>
    <row r="34" spans="1:8" customFormat="1" x14ac:dyDescent="0.2">
      <c r="A34" s="9"/>
      <c r="B34" s="52" t="s">
        <v>125</v>
      </c>
      <c r="C34" s="54">
        <v>16</v>
      </c>
      <c r="D34" s="56">
        <v>-139</v>
      </c>
      <c r="E34" s="61">
        <v>0.30626196335794365</v>
      </c>
      <c r="F34" s="56">
        <v>132.04500000000002</v>
      </c>
      <c r="G34" s="59" t="s">
        <v>107</v>
      </c>
      <c r="H34" s="1"/>
    </row>
    <row r="35" spans="1:8" customFormat="1" x14ac:dyDescent="0.2">
      <c r="A35" s="9"/>
      <c r="B35" s="52" t="s">
        <v>146</v>
      </c>
      <c r="C35" s="54">
        <v>1</v>
      </c>
      <c r="D35" s="56">
        <v>72</v>
      </c>
      <c r="E35" s="61">
        <v>0.3639595296691277</v>
      </c>
      <c r="F35" s="56">
        <v>25.995999999999999</v>
      </c>
      <c r="G35" s="59" t="s">
        <v>107</v>
      </c>
      <c r="H35" s="1"/>
    </row>
    <row r="36" spans="1:8" customFormat="1" x14ac:dyDescent="0.2">
      <c r="A36" s="9"/>
      <c r="B36" s="52" t="s">
        <v>114</v>
      </c>
      <c r="C36" s="54">
        <v>16</v>
      </c>
      <c r="D36" s="56">
        <v>724</v>
      </c>
      <c r="E36" s="61">
        <v>0.54224774405250209</v>
      </c>
      <c r="F36" s="56">
        <v>141.90000000000003</v>
      </c>
      <c r="G36" s="59" t="s">
        <v>107</v>
      </c>
      <c r="H36" s="1"/>
    </row>
    <row r="37" spans="1:8" customFormat="1" x14ac:dyDescent="0.2">
      <c r="A37" s="9"/>
      <c r="B37" s="52" t="s">
        <v>123</v>
      </c>
      <c r="C37" s="54">
        <v>16</v>
      </c>
      <c r="D37" s="56">
        <v>-25</v>
      </c>
      <c r="E37" s="61">
        <v>0.33743505605687724</v>
      </c>
      <c r="F37" s="56">
        <v>163.01299999999998</v>
      </c>
      <c r="G37" s="59" t="s">
        <v>107</v>
      </c>
      <c r="H37" s="1"/>
    </row>
    <row r="38" spans="1:8" customFormat="1" x14ac:dyDescent="0.2">
      <c r="A38" s="9"/>
      <c r="B38" s="52" t="s">
        <v>145</v>
      </c>
      <c r="C38" s="54">
        <v>1</v>
      </c>
      <c r="D38" s="56">
        <v>72</v>
      </c>
      <c r="E38" s="61">
        <v>0.3639595296691277</v>
      </c>
      <c r="F38" s="56">
        <v>20.059999999999999</v>
      </c>
      <c r="G38" s="59" t="s">
        <v>107</v>
      </c>
      <c r="H38" s="1"/>
    </row>
    <row r="39" spans="1:8" customFormat="1" x14ac:dyDescent="0.2">
      <c r="A39" s="9"/>
      <c r="B39" s="52" t="s">
        <v>126</v>
      </c>
      <c r="C39" s="54">
        <v>16</v>
      </c>
      <c r="D39" s="56">
        <v>769</v>
      </c>
      <c r="E39" s="61">
        <v>0.55455291222313374</v>
      </c>
      <c r="F39" s="56">
        <v>331.197</v>
      </c>
      <c r="G39" s="59" t="s">
        <v>107</v>
      </c>
      <c r="H39" s="1"/>
    </row>
    <row r="40" spans="1:8" customFormat="1" x14ac:dyDescent="0.2">
      <c r="A40" s="9"/>
      <c r="B40" s="52" t="s">
        <v>182</v>
      </c>
      <c r="C40" s="54">
        <v>16</v>
      </c>
      <c r="D40" s="56">
        <v>605.5</v>
      </c>
      <c r="E40" s="61">
        <v>0.50984413453650534</v>
      </c>
      <c r="F40" s="56">
        <v>112.40300000000001</v>
      </c>
      <c r="G40" s="59" t="s">
        <v>107</v>
      </c>
      <c r="H40" s="1"/>
    </row>
    <row r="41" spans="1:8" customFormat="1" x14ac:dyDescent="0.2">
      <c r="A41" s="9"/>
      <c r="B41" s="52" t="s">
        <v>115</v>
      </c>
      <c r="C41" s="54">
        <v>16</v>
      </c>
      <c r="D41" s="56">
        <v>640</v>
      </c>
      <c r="E41" s="61">
        <v>0.51927809680065629</v>
      </c>
      <c r="F41" s="56">
        <v>324.90000000000003</v>
      </c>
      <c r="G41" s="59" t="s">
        <v>107</v>
      </c>
      <c r="H41" s="1"/>
    </row>
    <row r="42" spans="1:8" customFormat="1" x14ac:dyDescent="0.2">
      <c r="A42" s="9"/>
      <c r="B42" s="52" t="s">
        <v>155</v>
      </c>
      <c r="C42" s="54">
        <v>16</v>
      </c>
      <c r="D42" s="56">
        <v>-282.5</v>
      </c>
      <c r="E42" s="61">
        <v>0.26702214930270712</v>
      </c>
      <c r="F42" s="56">
        <v>127.44100000000002</v>
      </c>
      <c r="G42" s="59" t="s">
        <v>107</v>
      </c>
      <c r="H42" s="1"/>
    </row>
    <row r="43" spans="1:8" customFormat="1" x14ac:dyDescent="0.2">
      <c r="A43" s="9"/>
      <c r="B43" s="52" t="s">
        <v>183</v>
      </c>
      <c r="C43" s="54">
        <v>16</v>
      </c>
      <c r="D43" s="56">
        <v>262</v>
      </c>
      <c r="E43" s="61">
        <v>0.41591468416735028</v>
      </c>
      <c r="F43" s="56">
        <v>228.66200000000001</v>
      </c>
      <c r="G43" s="59" t="s">
        <v>107</v>
      </c>
      <c r="H43" s="1"/>
    </row>
    <row r="44" spans="1:8" customFormat="1" x14ac:dyDescent="0.2">
      <c r="A44" s="9"/>
      <c r="B44" s="52" t="s">
        <v>184</v>
      </c>
      <c r="C44" s="54">
        <v>16</v>
      </c>
      <c r="D44" s="56">
        <v>1174.5</v>
      </c>
      <c r="E44" s="61">
        <v>0.66543614984960353</v>
      </c>
      <c r="F44" s="56">
        <v>193.29500000000002</v>
      </c>
      <c r="G44" s="59" t="s">
        <v>107</v>
      </c>
      <c r="H44" s="1"/>
    </row>
    <row r="45" spans="1:8" customFormat="1" x14ac:dyDescent="0.2">
      <c r="A45" s="9"/>
      <c r="B45" s="52" t="s">
        <v>157</v>
      </c>
      <c r="C45" s="54">
        <v>16</v>
      </c>
      <c r="D45" s="56">
        <v>543</v>
      </c>
      <c r="E45" s="61">
        <v>0.49275362318840582</v>
      </c>
      <c r="F45" s="56">
        <v>293.60400000000004</v>
      </c>
      <c r="G45" s="59" t="s">
        <v>107</v>
      </c>
      <c r="H45" s="1"/>
    </row>
    <row r="46" spans="1:8" customFormat="1" x14ac:dyDescent="0.2">
      <c r="A46" s="9"/>
      <c r="B46" s="52" t="s">
        <v>113</v>
      </c>
      <c r="C46" s="54">
        <v>16</v>
      </c>
      <c r="D46" s="56">
        <v>262</v>
      </c>
      <c r="E46" s="61">
        <v>0.41591468416735028</v>
      </c>
      <c r="F46" s="56">
        <v>255.87899999999999</v>
      </c>
      <c r="G46" s="59" t="s">
        <v>107</v>
      </c>
      <c r="H46" s="1"/>
    </row>
    <row r="47" spans="1:8" customFormat="1" x14ac:dyDescent="0.2">
      <c r="A47" s="9"/>
      <c r="B47" s="52" t="s">
        <v>185</v>
      </c>
      <c r="C47" s="54">
        <v>10</v>
      </c>
      <c r="D47" s="56">
        <v>-199</v>
      </c>
      <c r="E47" s="61">
        <v>0.28985507246376813</v>
      </c>
      <c r="F47" s="56">
        <v>198.46100000000001</v>
      </c>
      <c r="G47" s="59" t="s">
        <v>107</v>
      </c>
      <c r="H47" s="1"/>
    </row>
    <row r="48" spans="1:8" customFormat="1" x14ac:dyDescent="0.2">
      <c r="A48" s="9"/>
      <c r="B48" s="52" t="s">
        <v>158</v>
      </c>
      <c r="C48" s="54">
        <v>16</v>
      </c>
      <c r="D48" s="56">
        <v>197.5</v>
      </c>
      <c r="E48" s="61">
        <v>0.39827727645611155</v>
      </c>
      <c r="F48" s="56">
        <v>475.70699999999999</v>
      </c>
      <c r="G48" s="59" t="s">
        <v>107</v>
      </c>
      <c r="H48" s="1"/>
    </row>
    <row r="49" spans="1:8" customFormat="1" x14ac:dyDescent="0.2">
      <c r="A49" s="9"/>
      <c r="B49" s="52" t="s">
        <v>137</v>
      </c>
      <c r="C49" s="54">
        <v>4</v>
      </c>
      <c r="D49" s="56">
        <v>139</v>
      </c>
      <c r="E49" s="61">
        <v>0.38228055783429038</v>
      </c>
      <c r="F49" s="56">
        <v>34.353999999999999</v>
      </c>
      <c r="G49" s="59" t="s">
        <v>107</v>
      </c>
      <c r="H49" s="1"/>
    </row>
    <row r="50" spans="1:8" customFormat="1" x14ac:dyDescent="0.2">
      <c r="A50" s="9"/>
      <c r="B50" s="52" t="s">
        <v>122</v>
      </c>
      <c r="C50" s="54">
        <v>16</v>
      </c>
      <c r="D50" s="56">
        <v>488</v>
      </c>
      <c r="E50" s="61">
        <v>0.4777139732020782</v>
      </c>
      <c r="F50" s="56">
        <v>283.35199999999998</v>
      </c>
      <c r="G50" s="59" t="s">
        <v>107</v>
      </c>
      <c r="H50" s="1"/>
    </row>
    <row r="51" spans="1:8" customFormat="1" x14ac:dyDescent="0.2">
      <c r="A51" s="9"/>
      <c r="B51" s="52" t="s">
        <v>130</v>
      </c>
      <c r="C51" s="54">
        <v>16</v>
      </c>
      <c r="D51" s="56">
        <v>764</v>
      </c>
      <c r="E51" s="61">
        <v>0.55318567131528573</v>
      </c>
      <c r="F51" s="56">
        <v>155.60000000000002</v>
      </c>
      <c r="G51" s="59" t="s">
        <v>107</v>
      </c>
      <c r="H51" s="1"/>
    </row>
    <row r="52" spans="1:8" customFormat="1" x14ac:dyDescent="0.2">
      <c r="A52" s="9"/>
      <c r="B52" s="52" t="s">
        <v>149</v>
      </c>
      <c r="C52" s="54">
        <v>2</v>
      </c>
      <c r="D52" s="56">
        <v>55</v>
      </c>
      <c r="E52" s="61">
        <v>0.35931091058244463</v>
      </c>
      <c r="F52" s="56">
        <v>39.11</v>
      </c>
      <c r="G52" s="59" t="s">
        <v>107</v>
      </c>
      <c r="H52" s="1"/>
    </row>
    <row r="53" spans="1:8" customFormat="1" x14ac:dyDescent="0.2">
      <c r="A53" s="9"/>
      <c r="B53" s="52" t="s">
        <v>139</v>
      </c>
      <c r="C53" s="54">
        <v>2</v>
      </c>
      <c r="D53" s="56">
        <v>161</v>
      </c>
      <c r="E53" s="61">
        <v>0.38829641782882146</v>
      </c>
      <c r="F53" s="56">
        <v>20.235999999999997</v>
      </c>
      <c r="G53" s="59" t="s">
        <v>107</v>
      </c>
      <c r="H53" s="1"/>
    </row>
    <row r="54" spans="1:8" customFormat="1" x14ac:dyDescent="0.2">
      <c r="A54" s="9"/>
      <c r="B54" s="52" t="s">
        <v>142</v>
      </c>
      <c r="C54" s="54">
        <v>1</v>
      </c>
      <c r="D54" s="56">
        <v>79</v>
      </c>
      <c r="E54" s="61">
        <v>0.36587366694011486</v>
      </c>
      <c r="F54" s="56">
        <v>10.444000000000001</v>
      </c>
      <c r="G54" s="59" t="s">
        <v>107</v>
      </c>
      <c r="H54" s="1"/>
    </row>
    <row r="55" spans="1:8" customFormat="1" x14ac:dyDescent="0.2">
      <c r="A55" s="9"/>
      <c r="B55" s="52" t="s">
        <v>133</v>
      </c>
      <c r="C55" s="54">
        <v>2</v>
      </c>
      <c r="D55" s="56">
        <v>173</v>
      </c>
      <c r="E55" s="61">
        <v>0.39157779600765658</v>
      </c>
      <c r="F55" s="56">
        <v>22.692</v>
      </c>
      <c r="G55" s="59" t="s">
        <v>107</v>
      </c>
      <c r="H55" s="1"/>
    </row>
    <row r="56" spans="1:8" customFormat="1" x14ac:dyDescent="0.2">
      <c r="A56" s="9"/>
      <c r="B56" s="52" t="s">
        <v>134</v>
      </c>
      <c r="C56" s="54">
        <v>3</v>
      </c>
      <c r="D56" s="56">
        <v>144</v>
      </c>
      <c r="E56" s="61">
        <v>0.38364779874213839</v>
      </c>
      <c r="F56" s="56">
        <v>66.518999999999991</v>
      </c>
      <c r="G56" s="59" t="s">
        <v>107</v>
      </c>
      <c r="H56" s="1"/>
    </row>
    <row r="57" spans="1:8" customFormat="1" x14ac:dyDescent="0.2">
      <c r="A57" s="9"/>
      <c r="B57" s="52" t="s">
        <v>124</v>
      </c>
      <c r="C57" s="54">
        <v>5</v>
      </c>
      <c r="D57" s="56">
        <v>291</v>
      </c>
      <c r="E57" s="61">
        <v>0.42384468143286846</v>
      </c>
      <c r="F57" s="56">
        <v>73.829000000000008</v>
      </c>
      <c r="G57" s="59" t="s">
        <v>107</v>
      </c>
      <c r="H57" s="1"/>
    </row>
    <row r="58" spans="1:8" customFormat="1" x14ac:dyDescent="0.2">
      <c r="A58" s="9"/>
      <c r="B58" s="52" t="s">
        <v>150</v>
      </c>
      <c r="C58" s="54">
        <v>16</v>
      </c>
      <c r="D58" s="56">
        <v>258</v>
      </c>
      <c r="E58" s="61">
        <v>0.41482089144107193</v>
      </c>
      <c r="F58" s="56">
        <v>192.66199999999998</v>
      </c>
      <c r="G58" s="59" t="s">
        <v>107</v>
      </c>
      <c r="H58" s="1"/>
    </row>
    <row r="59" spans="1:8" customFormat="1" x14ac:dyDescent="0.2">
      <c r="A59" s="9"/>
      <c r="B59" s="52" t="s">
        <v>186</v>
      </c>
      <c r="C59" s="54">
        <v>1</v>
      </c>
      <c r="D59" s="56">
        <v>52</v>
      </c>
      <c r="E59" s="61">
        <v>0.35849056603773582</v>
      </c>
      <c r="F59" s="56">
        <v>7.0309999999999997</v>
      </c>
      <c r="G59" s="59" t="s">
        <v>107</v>
      </c>
      <c r="H59" s="1"/>
    </row>
    <row r="60" spans="1:8" customFormat="1" x14ac:dyDescent="0.2">
      <c r="A60" s="9"/>
      <c r="B60" s="52" t="s">
        <v>187</v>
      </c>
      <c r="C60" s="54">
        <v>16</v>
      </c>
      <c r="D60" s="56">
        <v>964</v>
      </c>
      <c r="E60" s="61">
        <v>0.60787530762920428</v>
      </c>
      <c r="F60" s="56">
        <v>535.90099999999995</v>
      </c>
      <c r="G60" s="59" t="s">
        <v>107</v>
      </c>
      <c r="H60" s="1"/>
    </row>
    <row r="61" spans="1:8" customFormat="1" x14ac:dyDescent="0.2">
      <c r="A61" s="9"/>
      <c r="B61" s="52" t="s">
        <v>136</v>
      </c>
      <c r="C61" s="54">
        <v>4</v>
      </c>
      <c r="D61" s="56">
        <v>157</v>
      </c>
      <c r="E61" s="61">
        <v>0.38720262510254305</v>
      </c>
      <c r="F61" s="56">
        <v>43.91</v>
      </c>
      <c r="G61" s="59" t="s">
        <v>107</v>
      </c>
      <c r="H61" s="1"/>
    </row>
    <row r="62" spans="1:8" customFormat="1" x14ac:dyDescent="0.2">
      <c r="A62" s="9"/>
      <c r="B62" s="52" t="s">
        <v>118</v>
      </c>
      <c r="C62" s="54">
        <v>16</v>
      </c>
      <c r="D62" s="56">
        <v>-298.5</v>
      </c>
      <c r="E62" s="61">
        <v>0.26264697839759366</v>
      </c>
      <c r="F62" s="56">
        <v>204.65299999999999</v>
      </c>
      <c r="G62" s="59" t="s">
        <v>107</v>
      </c>
      <c r="H62" s="1"/>
    </row>
    <row r="63" spans="1:8" customFormat="1" x14ac:dyDescent="0.2">
      <c r="A63" s="9"/>
      <c r="B63" s="52" t="s">
        <v>188</v>
      </c>
      <c r="C63" s="54">
        <v>1</v>
      </c>
      <c r="D63" s="56">
        <v>84</v>
      </c>
      <c r="E63" s="61">
        <v>0.36724090784796282</v>
      </c>
      <c r="F63" s="56">
        <v>28.414000000000001</v>
      </c>
      <c r="G63" s="59" t="s">
        <v>107</v>
      </c>
      <c r="H63" s="1"/>
    </row>
    <row r="64" spans="1:8" customFormat="1" x14ac:dyDescent="0.2">
      <c r="A64" s="9"/>
      <c r="B64" s="52" t="s">
        <v>189</v>
      </c>
      <c r="C64" s="54">
        <v>10</v>
      </c>
      <c r="D64" s="56">
        <v>245</v>
      </c>
      <c r="E64" s="61">
        <v>0.41126606508066721</v>
      </c>
      <c r="F64" s="56">
        <v>155.726</v>
      </c>
      <c r="G64" s="59" t="s">
        <v>107</v>
      </c>
      <c r="H64" s="1"/>
    </row>
    <row r="65" spans="1:8" customFormat="1" x14ac:dyDescent="0.2">
      <c r="A65" s="9"/>
      <c r="B65" s="52" t="s">
        <v>151</v>
      </c>
      <c r="C65" s="54">
        <v>16</v>
      </c>
      <c r="D65" s="56">
        <v>156</v>
      </c>
      <c r="E65" s="61">
        <v>0.38692917692097345</v>
      </c>
      <c r="F65" s="56">
        <v>243.78899999999999</v>
      </c>
      <c r="G65" s="59" t="s">
        <v>107</v>
      </c>
      <c r="H65" s="1"/>
    </row>
    <row r="66" spans="1:8" customFormat="1" x14ac:dyDescent="0.2">
      <c r="A66" s="9"/>
      <c r="B66" s="52" t="s">
        <v>116</v>
      </c>
      <c r="C66" s="54">
        <v>16</v>
      </c>
      <c r="D66" s="56">
        <v>946.5</v>
      </c>
      <c r="E66" s="61">
        <v>0.60308996445173635</v>
      </c>
      <c r="F66" s="56">
        <v>2060.9749999999999</v>
      </c>
      <c r="G66" s="59" t="s">
        <v>107</v>
      </c>
      <c r="H66" s="1"/>
    </row>
    <row r="67" spans="1:8" customFormat="1" x14ac:dyDescent="0.2">
      <c r="A67" s="9"/>
      <c r="B67" s="52" t="s">
        <v>121</v>
      </c>
      <c r="C67" s="54">
        <v>16</v>
      </c>
      <c r="D67" s="56">
        <v>849.5</v>
      </c>
      <c r="E67" s="61">
        <v>0.57656549083948594</v>
      </c>
      <c r="F67" s="56">
        <v>105.976</v>
      </c>
      <c r="G67" s="59" t="s">
        <v>107</v>
      </c>
      <c r="H67" s="1"/>
    </row>
    <row r="68" spans="1:8" customFormat="1" x14ac:dyDescent="0.2">
      <c r="A68" s="9"/>
      <c r="B68" s="52" t="s">
        <v>143</v>
      </c>
      <c r="C68" s="54">
        <v>1</v>
      </c>
      <c r="D68" s="56">
        <v>79</v>
      </c>
      <c r="E68" s="61">
        <v>0.36587366694011486</v>
      </c>
      <c r="F68" s="56">
        <v>22.04</v>
      </c>
      <c r="G68" s="59" t="s">
        <v>107</v>
      </c>
      <c r="H68" s="1"/>
    </row>
    <row r="69" spans="1:8" customFormat="1" x14ac:dyDescent="0.2">
      <c r="A69" s="9"/>
      <c r="B69" s="52" t="s">
        <v>190</v>
      </c>
      <c r="C69" s="54">
        <v>16</v>
      </c>
      <c r="D69" s="56">
        <v>0</v>
      </c>
      <c r="E69" s="61">
        <v>0.34427126059611701</v>
      </c>
      <c r="F69" s="56">
        <v>181.10200000000006</v>
      </c>
      <c r="G69" s="59" t="s">
        <v>107</v>
      </c>
      <c r="H69" s="1"/>
    </row>
    <row r="70" spans="1:8" customFormat="1" x14ac:dyDescent="0.2">
      <c r="A70" s="9"/>
      <c r="B70" s="52"/>
      <c r="C70" s="54"/>
      <c r="D70" s="56"/>
      <c r="E70" s="61"/>
      <c r="F70" s="56"/>
      <c r="G70" s="59"/>
      <c r="H70" s="1"/>
    </row>
    <row r="71" spans="1:8" customFormat="1" x14ac:dyDescent="0.2">
      <c r="A71" s="9"/>
      <c r="B71" s="10"/>
      <c r="C71" s="11"/>
      <c r="D71" s="12"/>
      <c r="E71" s="13"/>
      <c r="F71" s="12"/>
      <c r="G71" s="14"/>
      <c r="H71" s="1"/>
    </row>
    <row r="72" spans="1:8" customFormat="1" x14ac:dyDescent="0.2">
      <c r="A72" s="9"/>
      <c r="B72" s="10"/>
      <c r="C72" s="11"/>
      <c r="D72" s="12"/>
      <c r="E72" s="13"/>
      <c r="F72" s="12"/>
      <c r="G72" s="14"/>
      <c r="H72" s="1"/>
    </row>
    <row r="73" spans="1:8" customFormat="1" x14ac:dyDescent="0.2">
      <c r="A73" s="9"/>
      <c r="B73" s="10"/>
      <c r="C73" s="11"/>
      <c r="D73" s="12"/>
      <c r="E73" s="13"/>
      <c r="F73" s="12"/>
      <c r="G73" s="14"/>
      <c r="H73" s="1"/>
    </row>
    <row r="74" spans="1:8" customFormat="1" x14ac:dyDescent="0.2">
      <c r="A74" s="9"/>
      <c r="B74" s="10"/>
      <c r="C74" s="11"/>
      <c r="D74" s="12"/>
      <c r="E74" s="13"/>
      <c r="F74" s="12"/>
      <c r="G74" s="14"/>
      <c r="H74" s="1"/>
    </row>
    <row r="75" spans="1:8" customFormat="1" x14ac:dyDescent="0.2">
      <c r="A75" s="9"/>
      <c r="B75" s="10"/>
      <c r="C75" s="11"/>
      <c r="D75" s="12"/>
      <c r="E75" s="13"/>
      <c r="F75" s="12"/>
      <c r="G75" s="14"/>
      <c r="H75" s="1"/>
    </row>
    <row r="76" spans="1:8" customFormat="1" x14ac:dyDescent="0.2">
      <c r="A76" s="9"/>
      <c r="B76" s="10"/>
      <c r="C76" s="11"/>
      <c r="D76" s="12"/>
      <c r="E76" s="13"/>
      <c r="F76" s="12"/>
      <c r="G76" s="14"/>
      <c r="H76" s="1"/>
    </row>
    <row r="77" spans="1:8" customFormat="1" x14ac:dyDescent="0.2">
      <c r="A77" s="9"/>
      <c r="B77" s="10"/>
      <c r="C77" s="11"/>
      <c r="D77" s="12"/>
      <c r="E77" s="13"/>
      <c r="F77" s="12"/>
      <c r="G77" s="14"/>
      <c r="H77" s="1"/>
    </row>
    <row r="78" spans="1:8" customFormat="1" x14ac:dyDescent="0.2">
      <c r="A78" s="9"/>
      <c r="B78" s="10"/>
      <c r="C78" s="11"/>
      <c r="D78" s="12"/>
      <c r="E78" s="13"/>
      <c r="F78" s="12"/>
      <c r="G78" s="14"/>
      <c r="H78" s="1"/>
    </row>
    <row r="79" spans="1:8" customFormat="1" x14ac:dyDescent="0.2">
      <c r="A79" s="9"/>
      <c r="B79" s="10"/>
      <c r="C79" s="11"/>
      <c r="D79" s="12"/>
      <c r="E79" s="13"/>
      <c r="F79" s="12"/>
      <c r="G79" s="14"/>
      <c r="H79" s="1"/>
    </row>
    <row r="80" spans="1:8" customFormat="1" x14ac:dyDescent="0.2">
      <c r="A80" s="9"/>
      <c r="B80" s="10"/>
      <c r="C80" s="11"/>
      <c r="D80" s="12"/>
      <c r="E80" s="13"/>
      <c r="F80" s="12"/>
      <c r="G80" s="14"/>
      <c r="H80" s="1"/>
    </row>
    <row r="81" spans="1:8" customFormat="1" x14ac:dyDescent="0.2">
      <c r="A81" s="9"/>
      <c r="B81" s="10"/>
      <c r="C81" s="11"/>
      <c r="D81" s="12"/>
      <c r="E81" s="13"/>
      <c r="F81" s="12"/>
      <c r="G81" s="14"/>
      <c r="H81" s="1"/>
    </row>
    <row r="82" spans="1:8" customFormat="1" x14ac:dyDescent="0.2">
      <c r="A82" s="9"/>
      <c r="B82" s="10"/>
      <c r="C82" s="11"/>
      <c r="D82" s="12"/>
      <c r="E82" s="13"/>
      <c r="F82" s="12"/>
      <c r="G82" s="14"/>
      <c r="H82" s="1"/>
    </row>
    <row r="83" spans="1:8" customFormat="1" x14ac:dyDescent="0.2">
      <c r="A83" s="9"/>
      <c r="B83" s="10"/>
      <c r="C83" s="11"/>
      <c r="D83" s="12"/>
      <c r="E83" s="13"/>
      <c r="F83" s="12"/>
      <c r="G83" s="14"/>
      <c r="H83" s="1"/>
    </row>
    <row r="84" spans="1:8" customFormat="1" x14ac:dyDescent="0.2">
      <c r="A84" s="9"/>
      <c r="B84" s="10"/>
      <c r="C84" s="11"/>
      <c r="D84" s="12"/>
      <c r="E84" s="13"/>
      <c r="F84" s="12"/>
      <c r="G84" s="14"/>
      <c r="H84" s="1"/>
    </row>
    <row r="85" spans="1:8" customFormat="1" x14ac:dyDescent="0.2">
      <c r="A85" s="9"/>
      <c r="B85" s="10"/>
      <c r="C85" s="11"/>
      <c r="D85" s="12"/>
      <c r="E85" s="13"/>
      <c r="F85" s="12"/>
      <c r="G85" s="14"/>
      <c r="H85" s="1"/>
    </row>
    <row r="86" spans="1:8" customFormat="1" x14ac:dyDescent="0.2">
      <c r="A86" s="9"/>
      <c r="B86" s="10"/>
      <c r="C86" s="11"/>
      <c r="D86" s="12"/>
      <c r="E86" s="13"/>
      <c r="F86" s="12"/>
      <c r="G86" s="14"/>
      <c r="H86" s="1"/>
    </row>
    <row r="87" spans="1:8" customFormat="1" x14ac:dyDescent="0.2">
      <c r="A87" s="9"/>
      <c r="B87" s="10"/>
      <c r="C87" s="11"/>
      <c r="D87" s="12"/>
      <c r="E87" s="13"/>
      <c r="F87" s="12"/>
      <c r="G87" s="14"/>
      <c r="H87" s="1"/>
    </row>
    <row r="88" spans="1:8" customFormat="1" x14ac:dyDescent="0.2">
      <c r="A88" s="9"/>
      <c r="B88" s="10"/>
      <c r="C88" s="11"/>
      <c r="D88" s="12"/>
      <c r="E88" s="13"/>
      <c r="F88" s="12"/>
      <c r="G88" s="14"/>
      <c r="H88" s="1"/>
    </row>
    <row r="89" spans="1:8" customFormat="1" x14ac:dyDescent="0.2">
      <c r="A89" s="9"/>
      <c r="B89" s="10"/>
      <c r="C89" s="11"/>
      <c r="D89" s="12"/>
      <c r="E89" s="13"/>
      <c r="F89" s="12"/>
      <c r="G89" s="14"/>
      <c r="H89" s="1"/>
    </row>
    <row r="90" spans="1:8" customFormat="1" x14ac:dyDescent="0.2">
      <c r="A90" s="9"/>
      <c r="B90" s="10"/>
      <c r="C90" s="11"/>
      <c r="D90" s="12"/>
      <c r="E90" s="13"/>
      <c r="F90" s="12"/>
      <c r="G90" s="14"/>
      <c r="H90" s="1"/>
    </row>
    <row r="91" spans="1:8" customFormat="1" x14ac:dyDescent="0.2">
      <c r="A91" s="9"/>
      <c r="B91" s="10"/>
      <c r="C91" s="11"/>
      <c r="D91" s="12"/>
      <c r="E91" s="13"/>
      <c r="F91" s="12"/>
      <c r="G91" s="14"/>
      <c r="H91" s="1"/>
    </row>
    <row r="92" spans="1:8" customFormat="1" x14ac:dyDescent="0.2">
      <c r="A92" s="9"/>
      <c r="B92" s="10"/>
      <c r="C92" s="11"/>
      <c r="D92" s="12"/>
      <c r="E92" s="13"/>
      <c r="F92" s="12"/>
      <c r="G92" s="14"/>
      <c r="H92" s="1"/>
    </row>
    <row r="93" spans="1:8" customFormat="1" x14ac:dyDescent="0.2">
      <c r="A93" s="9"/>
      <c r="B93" s="10"/>
      <c r="C93" s="11"/>
      <c r="D93" s="12"/>
      <c r="E93" s="13"/>
      <c r="F93" s="12"/>
      <c r="G93" s="14"/>
      <c r="H93" s="1"/>
    </row>
    <row r="94" spans="1:8" customFormat="1" x14ac:dyDescent="0.2">
      <c r="A94" s="9"/>
      <c r="B94" s="10"/>
      <c r="C94" s="11"/>
      <c r="D94" s="12"/>
      <c r="E94" s="13"/>
      <c r="F94" s="12"/>
      <c r="G94" s="14"/>
      <c r="H94" s="1"/>
    </row>
    <row r="95" spans="1:8" customFormat="1" x14ac:dyDescent="0.2">
      <c r="A95" s="9"/>
      <c r="B95" s="10"/>
      <c r="C95" s="11"/>
      <c r="D95" s="12"/>
      <c r="E95" s="13"/>
      <c r="F95" s="12"/>
      <c r="G95" s="14"/>
      <c r="H95" s="1"/>
    </row>
    <row r="96" spans="1:8" customFormat="1" x14ac:dyDescent="0.2">
      <c r="A96" s="9"/>
      <c r="B96" s="10"/>
      <c r="C96" s="11"/>
      <c r="D96" s="12"/>
      <c r="E96" s="13"/>
      <c r="F96" s="12"/>
      <c r="G96" s="14"/>
      <c r="H96" s="1"/>
    </row>
    <row r="97" spans="1:8" customFormat="1" x14ac:dyDescent="0.2">
      <c r="A97" s="9"/>
      <c r="B97" s="10"/>
      <c r="C97" s="11"/>
      <c r="D97" s="12"/>
      <c r="E97" s="13"/>
      <c r="F97" s="12"/>
      <c r="G97" s="14"/>
      <c r="H97" s="1"/>
    </row>
    <row r="98" spans="1:8" customFormat="1" x14ac:dyDescent="0.2">
      <c r="A98" s="9"/>
      <c r="B98" s="10"/>
      <c r="C98" s="11"/>
      <c r="D98" s="12"/>
      <c r="E98" s="13"/>
      <c r="F98" s="12"/>
      <c r="G98" s="14"/>
      <c r="H98" s="1"/>
    </row>
    <row r="99" spans="1:8" customFormat="1" x14ac:dyDescent="0.2">
      <c r="A99" s="9"/>
      <c r="B99" s="10"/>
      <c r="C99" s="11"/>
      <c r="D99" s="12"/>
      <c r="E99" s="13"/>
      <c r="F99" s="12"/>
      <c r="G99" s="14"/>
      <c r="H99" s="1"/>
    </row>
    <row r="100" spans="1:8" customFormat="1" x14ac:dyDescent="0.2">
      <c r="A100" s="9"/>
      <c r="B100" s="10"/>
      <c r="C100" s="11"/>
      <c r="D100" s="12"/>
      <c r="E100" s="13"/>
      <c r="F100" s="12"/>
      <c r="G100" s="14"/>
      <c r="H100" s="1"/>
    </row>
    <row r="101" spans="1:8" customFormat="1" x14ac:dyDescent="0.2">
      <c r="A101" s="9"/>
      <c r="B101" s="10"/>
      <c r="C101" s="11"/>
      <c r="D101" s="12"/>
      <c r="E101" s="13"/>
      <c r="F101" s="12"/>
      <c r="G101" s="14"/>
      <c r="H101" s="1"/>
    </row>
    <row r="102" spans="1:8" customFormat="1" x14ac:dyDescent="0.2">
      <c r="A102" s="9"/>
      <c r="B102" s="10"/>
      <c r="C102" s="11"/>
      <c r="D102" s="12"/>
      <c r="E102" s="13"/>
      <c r="F102" s="12"/>
      <c r="G102" s="14"/>
      <c r="H102" s="1"/>
    </row>
    <row r="103" spans="1:8" customFormat="1" x14ac:dyDescent="0.2">
      <c r="A103" s="9"/>
      <c r="B103" s="10"/>
      <c r="C103" s="11"/>
      <c r="D103" s="12"/>
      <c r="E103" s="13"/>
      <c r="F103" s="12"/>
      <c r="G103" s="14"/>
      <c r="H103" s="1"/>
    </row>
    <row r="104" spans="1:8" customFormat="1" x14ac:dyDescent="0.2">
      <c r="A104" s="9"/>
      <c r="B104" s="10"/>
      <c r="C104" s="11"/>
      <c r="D104" s="12"/>
      <c r="E104" s="13"/>
      <c r="F104" s="12"/>
      <c r="G104" s="14"/>
      <c r="H104" s="1"/>
    </row>
    <row r="105" spans="1:8" customFormat="1" x14ac:dyDescent="0.2">
      <c r="A105" s="9"/>
      <c r="B105" s="10"/>
      <c r="C105" s="11"/>
      <c r="D105" s="12"/>
      <c r="E105" s="13"/>
      <c r="F105" s="12"/>
      <c r="G105" s="14"/>
      <c r="H105" s="1"/>
    </row>
    <row r="106" spans="1:8" customFormat="1" x14ac:dyDescent="0.2">
      <c r="A106" s="9"/>
      <c r="B106" s="10"/>
      <c r="C106" s="11"/>
      <c r="D106" s="12"/>
      <c r="E106" s="13"/>
      <c r="F106" s="12"/>
      <c r="G106" s="14"/>
      <c r="H106" s="1"/>
    </row>
    <row r="107" spans="1:8" customFormat="1" x14ac:dyDescent="0.2">
      <c r="A107" s="9"/>
      <c r="B107" s="10"/>
      <c r="C107" s="11"/>
      <c r="D107" s="12"/>
      <c r="E107" s="13"/>
      <c r="F107" s="12"/>
      <c r="G107" s="14"/>
      <c r="H107" s="1"/>
    </row>
    <row r="108" spans="1:8" customFormat="1" x14ac:dyDescent="0.2">
      <c r="A108" s="9"/>
      <c r="B108" s="10"/>
      <c r="C108" s="11"/>
      <c r="D108" s="12"/>
      <c r="E108" s="13"/>
      <c r="F108" s="12"/>
      <c r="G108" s="14"/>
      <c r="H108" s="1"/>
    </row>
    <row r="109" spans="1:8" customFormat="1" x14ac:dyDescent="0.2">
      <c r="A109" s="9"/>
      <c r="B109" s="10"/>
      <c r="C109" s="11"/>
      <c r="D109" s="12"/>
      <c r="E109" s="13"/>
      <c r="F109" s="12"/>
      <c r="G109" s="14"/>
      <c r="H109" s="1"/>
    </row>
    <row r="110" spans="1:8" customFormat="1" x14ac:dyDescent="0.2">
      <c r="A110" s="9"/>
      <c r="B110" s="10"/>
      <c r="C110" s="11"/>
      <c r="D110" s="12"/>
      <c r="E110" s="13"/>
      <c r="F110" s="12"/>
      <c r="G110" s="14"/>
      <c r="H110" s="1"/>
    </row>
    <row r="111" spans="1:8" customFormat="1" x14ac:dyDescent="0.2">
      <c r="A111" s="9"/>
      <c r="B111" s="10"/>
      <c r="C111" s="11"/>
      <c r="D111" s="12"/>
      <c r="E111" s="13"/>
      <c r="F111" s="12"/>
      <c r="G111" s="14"/>
      <c r="H111" s="1"/>
    </row>
    <row r="112" spans="1:8" customFormat="1" x14ac:dyDescent="0.2">
      <c r="A112" s="9"/>
      <c r="B112" s="10"/>
      <c r="C112" s="11"/>
      <c r="D112" s="12"/>
      <c r="E112" s="13"/>
      <c r="F112" s="12"/>
      <c r="G112" s="14"/>
      <c r="H112" s="1"/>
    </row>
    <row r="113" spans="1:8" customFormat="1" x14ac:dyDescent="0.2">
      <c r="A113" s="9"/>
      <c r="B113" s="10"/>
      <c r="C113" s="11"/>
      <c r="D113" s="12"/>
      <c r="E113" s="13"/>
      <c r="F113" s="12"/>
      <c r="G113" s="14"/>
      <c r="H113" s="1"/>
    </row>
    <row r="114" spans="1:8" customFormat="1" x14ac:dyDescent="0.2">
      <c r="A114" s="9"/>
      <c r="B114" s="10"/>
      <c r="C114" s="11"/>
      <c r="D114" s="12"/>
      <c r="E114" s="13"/>
      <c r="F114" s="12"/>
      <c r="G114" s="14"/>
      <c r="H114" s="1"/>
    </row>
    <row r="115" spans="1:8" customFormat="1" x14ac:dyDescent="0.2">
      <c r="A115" s="9"/>
      <c r="B115" s="10"/>
      <c r="C115" s="11"/>
      <c r="D115" s="12"/>
      <c r="E115" s="13"/>
      <c r="F115" s="12"/>
      <c r="G115" s="14"/>
      <c r="H115" s="1"/>
    </row>
    <row r="116" spans="1:8" customFormat="1" x14ac:dyDescent="0.2">
      <c r="A116" s="9"/>
      <c r="B116" s="10"/>
      <c r="C116" s="11"/>
      <c r="D116" s="12"/>
      <c r="E116" s="13"/>
      <c r="F116" s="12"/>
      <c r="G116" s="14"/>
      <c r="H116" s="1"/>
    </row>
    <row r="117" spans="1:8" customFormat="1" x14ac:dyDescent="0.2">
      <c r="A117" s="9"/>
      <c r="B117" s="10"/>
      <c r="C117" s="11"/>
      <c r="D117" s="12"/>
      <c r="E117" s="13"/>
      <c r="F117" s="12"/>
      <c r="G117" s="14"/>
      <c r="H117" s="1"/>
    </row>
    <row r="118" spans="1:8" customFormat="1" x14ac:dyDescent="0.2">
      <c r="A118" s="9"/>
      <c r="B118" s="10"/>
      <c r="C118" s="11"/>
      <c r="D118" s="12"/>
      <c r="E118" s="13"/>
      <c r="F118" s="12"/>
      <c r="G118" s="14"/>
      <c r="H118" s="1"/>
    </row>
    <row r="119" spans="1:8" customFormat="1" x14ac:dyDescent="0.2">
      <c r="A119" s="9"/>
      <c r="B119" s="10"/>
      <c r="C119" s="11"/>
      <c r="D119" s="12"/>
      <c r="E119" s="13"/>
      <c r="F119" s="12"/>
      <c r="G119" s="14"/>
      <c r="H119" s="1"/>
    </row>
    <row r="120" spans="1:8" customFormat="1" x14ac:dyDescent="0.2">
      <c r="A120" s="9"/>
      <c r="B120" s="10"/>
      <c r="C120" s="11"/>
      <c r="D120" s="12"/>
      <c r="E120" s="13"/>
      <c r="F120" s="12"/>
      <c r="G120" s="14"/>
      <c r="H120" s="1"/>
    </row>
    <row r="121" spans="1:8" customFormat="1" x14ac:dyDescent="0.2">
      <c r="A121" s="9"/>
      <c r="B121" s="10"/>
      <c r="C121" s="11"/>
      <c r="D121" s="12"/>
      <c r="E121" s="13"/>
      <c r="F121" s="12"/>
      <c r="G121" s="14"/>
      <c r="H121" s="1"/>
    </row>
    <row r="122" spans="1:8" customFormat="1" x14ac:dyDescent="0.2">
      <c r="A122" s="9"/>
      <c r="B122" s="10"/>
      <c r="C122" s="11"/>
      <c r="D122" s="12"/>
      <c r="E122" s="13"/>
      <c r="F122" s="12"/>
      <c r="G122" s="14"/>
      <c r="H122" s="1"/>
    </row>
    <row r="123" spans="1:8" customFormat="1" x14ac:dyDescent="0.2">
      <c r="A123" s="9"/>
      <c r="B123" s="10"/>
      <c r="C123" s="11"/>
      <c r="D123" s="12"/>
      <c r="E123" s="13"/>
      <c r="F123" s="12"/>
      <c r="G123" s="14"/>
      <c r="H123" s="1"/>
    </row>
    <row r="124" spans="1:8" customFormat="1" x14ac:dyDescent="0.2">
      <c r="A124" s="9"/>
      <c r="B124" s="10"/>
      <c r="C124" s="11"/>
      <c r="D124" s="12"/>
      <c r="E124" s="13"/>
      <c r="F124" s="12"/>
      <c r="G124" s="14"/>
      <c r="H124" s="1"/>
    </row>
    <row r="125" spans="1:8" customFormat="1" x14ac:dyDescent="0.2">
      <c r="A125" s="9"/>
      <c r="B125" s="10"/>
      <c r="C125" s="11"/>
      <c r="D125" s="12"/>
      <c r="E125" s="13"/>
      <c r="F125" s="12"/>
      <c r="G125" s="14"/>
      <c r="H125" s="1"/>
    </row>
    <row r="126" spans="1:8" customFormat="1" x14ac:dyDescent="0.2">
      <c r="A126" s="9"/>
      <c r="B126" s="10"/>
      <c r="C126" s="11"/>
      <c r="D126" s="12"/>
      <c r="E126" s="13"/>
      <c r="F126" s="12"/>
      <c r="G126" s="14"/>
      <c r="H126" s="1"/>
    </row>
    <row r="127" spans="1:8" customFormat="1" x14ac:dyDescent="0.2">
      <c r="A127" s="9"/>
      <c r="B127" s="10"/>
      <c r="C127" s="11"/>
      <c r="D127" s="12"/>
      <c r="E127" s="13"/>
      <c r="F127" s="12"/>
      <c r="G127" s="14"/>
      <c r="H127" s="1"/>
    </row>
    <row r="128" spans="1:8" customFormat="1" x14ac:dyDescent="0.2">
      <c r="A128" s="9"/>
      <c r="B128" s="10"/>
      <c r="C128" s="11"/>
      <c r="D128" s="12"/>
      <c r="E128" s="13"/>
      <c r="F128" s="12"/>
      <c r="G128" s="14"/>
      <c r="H128" s="1"/>
    </row>
    <row r="129" spans="1:8" customFormat="1" x14ac:dyDescent="0.2">
      <c r="A129" s="9"/>
      <c r="B129" s="10"/>
      <c r="C129" s="11"/>
      <c r="D129" s="12"/>
      <c r="E129" s="13"/>
      <c r="F129" s="12"/>
      <c r="G129" s="14"/>
      <c r="H129" s="1"/>
    </row>
    <row r="130" spans="1:8" customFormat="1" x14ac:dyDescent="0.2">
      <c r="A130" s="9"/>
      <c r="B130" s="10"/>
      <c r="C130" s="11"/>
      <c r="D130" s="12"/>
      <c r="E130" s="13"/>
      <c r="F130" s="12"/>
      <c r="G130" s="14"/>
      <c r="H130" s="1"/>
    </row>
    <row r="131" spans="1:8" customFormat="1" x14ac:dyDescent="0.2">
      <c r="A131" s="9"/>
      <c r="B131" s="10"/>
      <c r="C131" s="11"/>
      <c r="D131" s="12"/>
      <c r="E131" s="13"/>
      <c r="F131" s="12"/>
      <c r="G131" s="14"/>
      <c r="H131" s="1"/>
    </row>
    <row r="132" spans="1:8" customFormat="1" x14ac:dyDescent="0.2">
      <c r="A132" s="9"/>
      <c r="B132" s="10"/>
      <c r="C132" s="11"/>
      <c r="D132" s="12"/>
      <c r="E132" s="13"/>
      <c r="F132" s="12"/>
      <c r="G132" s="14"/>
      <c r="H132" s="1"/>
    </row>
    <row r="133" spans="1:8" customFormat="1" x14ac:dyDescent="0.2">
      <c r="A133" s="9"/>
      <c r="B133" s="10"/>
      <c r="C133" s="11"/>
      <c r="D133" s="12"/>
      <c r="E133" s="13"/>
      <c r="F133" s="12"/>
      <c r="G133" s="14"/>
      <c r="H133" s="1"/>
    </row>
    <row r="134" spans="1:8" customFormat="1" x14ac:dyDescent="0.2">
      <c r="A134" s="9"/>
      <c r="B134" s="10"/>
      <c r="C134" s="11"/>
      <c r="D134" s="12"/>
      <c r="E134" s="13"/>
      <c r="F134" s="12"/>
      <c r="G134" s="14"/>
      <c r="H134" s="1"/>
    </row>
    <row r="135" spans="1:8" customFormat="1" x14ac:dyDescent="0.2">
      <c r="A135" s="9"/>
      <c r="B135" s="10"/>
      <c r="C135" s="11"/>
      <c r="D135" s="12"/>
      <c r="E135" s="13"/>
      <c r="F135" s="12"/>
      <c r="G135" s="14"/>
      <c r="H135" s="1"/>
    </row>
    <row r="136" spans="1:8" customFormat="1" x14ac:dyDescent="0.2">
      <c r="A136" s="9"/>
      <c r="B136" s="10"/>
      <c r="C136" s="11"/>
      <c r="D136" s="12"/>
      <c r="E136" s="13"/>
      <c r="F136" s="12"/>
      <c r="G136" s="14"/>
      <c r="H136" s="1"/>
    </row>
    <row r="137" spans="1:8" customFormat="1" x14ac:dyDescent="0.2">
      <c r="A137" s="9"/>
      <c r="B137" s="10"/>
      <c r="C137" s="11"/>
      <c r="D137" s="12"/>
      <c r="E137" s="13"/>
      <c r="F137" s="12"/>
      <c r="G137" s="14"/>
      <c r="H137" s="1"/>
    </row>
    <row r="138" spans="1:8" customFormat="1" x14ac:dyDescent="0.2">
      <c r="A138" s="9"/>
      <c r="B138" s="10"/>
      <c r="C138" s="11"/>
      <c r="D138" s="12"/>
      <c r="E138" s="13"/>
      <c r="F138" s="12"/>
      <c r="G138" s="14"/>
      <c r="H138" s="1"/>
    </row>
    <row r="139" spans="1:8" customFormat="1" x14ac:dyDescent="0.2">
      <c r="A139" s="9"/>
      <c r="B139" s="10"/>
      <c r="C139" s="11"/>
      <c r="D139" s="12"/>
      <c r="E139" s="13"/>
      <c r="F139" s="12"/>
      <c r="G139" s="14"/>
      <c r="H139" s="1"/>
    </row>
    <row r="140" spans="1:8" customFormat="1" x14ac:dyDescent="0.2">
      <c r="A140" s="9"/>
      <c r="B140" s="10"/>
      <c r="C140" s="11"/>
      <c r="D140" s="12"/>
      <c r="E140" s="13"/>
      <c r="F140" s="12"/>
      <c r="G140" s="14"/>
      <c r="H140" s="1"/>
    </row>
    <row r="141" spans="1:8" customFormat="1" x14ac:dyDescent="0.2">
      <c r="A141" s="9"/>
      <c r="B141" s="10"/>
      <c r="C141" s="11"/>
      <c r="D141" s="12"/>
      <c r="E141" s="13"/>
      <c r="F141" s="12"/>
      <c r="G141" s="14"/>
      <c r="H141" s="1"/>
    </row>
    <row r="142" spans="1:8" customFormat="1" x14ac:dyDescent="0.2">
      <c r="A142" s="9"/>
      <c r="B142" s="10"/>
      <c r="C142" s="11"/>
      <c r="D142" s="12"/>
      <c r="E142" s="13"/>
      <c r="F142" s="12"/>
      <c r="G142" s="14"/>
      <c r="H142" s="1"/>
    </row>
    <row r="143" spans="1:8" customFormat="1" x14ac:dyDescent="0.2">
      <c r="A143" s="9"/>
      <c r="B143" s="10"/>
      <c r="C143" s="11"/>
      <c r="D143" s="12"/>
      <c r="E143" s="13"/>
      <c r="F143" s="12"/>
      <c r="G143" s="14"/>
      <c r="H143" s="1"/>
    </row>
    <row r="144" spans="1:8" customFormat="1" x14ac:dyDescent="0.2">
      <c r="A144" s="9"/>
      <c r="B144" s="10"/>
      <c r="C144" s="11"/>
      <c r="D144" s="12"/>
      <c r="E144" s="13"/>
      <c r="F144" s="12"/>
      <c r="G144" s="14"/>
      <c r="H144" s="1"/>
    </row>
    <row r="145" spans="1:8" customFormat="1" x14ac:dyDescent="0.2">
      <c r="A145" s="9"/>
      <c r="B145" s="10"/>
      <c r="C145" s="11"/>
      <c r="D145" s="12"/>
      <c r="E145" s="13"/>
      <c r="F145" s="12"/>
      <c r="G145" s="14"/>
      <c r="H145" s="1"/>
    </row>
    <row r="146" spans="1:8" customFormat="1" x14ac:dyDescent="0.2">
      <c r="A146" s="9"/>
      <c r="B146" s="10"/>
      <c r="C146" s="11"/>
      <c r="D146" s="12"/>
      <c r="E146" s="13"/>
      <c r="F146" s="12"/>
      <c r="G146" s="14"/>
      <c r="H146" s="1"/>
    </row>
    <row r="147" spans="1:8" customFormat="1" x14ac:dyDescent="0.2">
      <c r="A147" s="9"/>
      <c r="B147" s="10"/>
      <c r="C147" s="11"/>
      <c r="D147" s="12"/>
      <c r="E147" s="13"/>
      <c r="F147" s="12"/>
      <c r="G147" s="14"/>
      <c r="H147" s="1"/>
    </row>
    <row r="148" spans="1:8" customFormat="1" x14ac:dyDescent="0.2">
      <c r="A148" s="9"/>
      <c r="B148" s="10"/>
      <c r="C148" s="11"/>
      <c r="D148" s="12"/>
      <c r="E148" s="13"/>
      <c r="F148" s="12"/>
      <c r="G148" s="14"/>
      <c r="H148" s="1"/>
    </row>
    <row r="149" spans="1:8" customFormat="1" x14ac:dyDescent="0.2">
      <c r="A149" s="9"/>
      <c r="B149" s="10"/>
      <c r="C149" s="11"/>
      <c r="D149" s="12"/>
      <c r="E149" s="13"/>
      <c r="F149" s="12"/>
      <c r="G149" s="14"/>
      <c r="H149" s="1"/>
    </row>
    <row r="150" spans="1:8" customFormat="1" x14ac:dyDescent="0.2">
      <c r="A150" s="9"/>
      <c r="B150" s="10"/>
      <c r="C150" s="11"/>
      <c r="D150" s="12"/>
      <c r="E150" s="13"/>
      <c r="F150" s="12"/>
      <c r="G150" s="14"/>
      <c r="H150" s="1"/>
    </row>
    <row r="151" spans="1:8" customFormat="1" x14ac:dyDescent="0.2">
      <c r="A151" s="9"/>
      <c r="B151" s="10"/>
      <c r="C151" s="11"/>
      <c r="D151" s="12"/>
      <c r="E151" s="13"/>
      <c r="F151" s="12"/>
      <c r="G151" s="14"/>
      <c r="H151" s="1"/>
    </row>
    <row r="152" spans="1:8" customFormat="1" x14ac:dyDescent="0.2">
      <c r="A152" s="9"/>
      <c r="B152" s="10"/>
      <c r="C152" s="11"/>
      <c r="D152" s="12"/>
      <c r="E152" s="13"/>
      <c r="F152" s="12"/>
      <c r="G152" s="14"/>
      <c r="H152" s="1"/>
    </row>
    <row r="153" spans="1:8" customFormat="1" x14ac:dyDescent="0.2">
      <c r="A153" s="9"/>
      <c r="B153" s="10"/>
      <c r="C153" s="11"/>
      <c r="D153" s="12"/>
      <c r="E153" s="13"/>
      <c r="F153" s="12"/>
      <c r="G153" s="14"/>
      <c r="H153" s="1"/>
    </row>
    <row r="154" spans="1:8" customFormat="1" x14ac:dyDescent="0.2">
      <c r="A154" s="9"/>
      <c r="B154" s="10"/>
      <c r="C154" s="11"/>
      <c r="D154" s="12"/>
      <c r="E154" s="13"/>
      <c r="F154" s="12"/>
      <c r="G154" s="14"/>
      <c r="H154" s="1"/>
    </row>
    <row r="155" spans="1:8" customFormat="1" x14ac:dyDescent="0.2">
      <c r="A155" s="9"/>
      <c r="B155" s="10"/>
      <c r="C155" s="11"/>
      <c r="D155" s="12"/>
      <c r="E155" s="13"/>
      <c r="F155" s="12"/>
      <c r="G155" s="14"/>
      <c r="H155" s="1"/>
    </row>
    <row r="156" spans="1:8" customFormat="1" x14ac:dyDescent="0.2">
      <c r="A156" s="9"/>
      <c r="B156" s="10"/>
      <c r="C156" s="11"/>
      <c r="D156" s="12"/>
      <c r="E156" s="13"/>
      <c r="F156" s="12"/>
      <c r="G156" s="14"/>
      <c r="H156" s="1"/>
    </row>
    <row r="157" spans="1:8" customFormat="1" x14ac:dyDescent="0.2">
      <c r="A157" s="9"/>
      <c r="B157" s="10"/>
      <c r="C157" s="11"/>
      <c r="D157" s="12"/>
      <c r="E157" s="13"/>
      <c r="F157" s="12"/>
      <c r="G157" s="14"/>
      <c r="H157" s="1"/>
    </row>
    <row r="158" spans="1:8" customFormat="1" x14ac:dyDescent="0.2">
      <c r="A158" s="9"/>
      <c r="B158" s="10"/>
      <c r="C158" s="11"/>
      <c r="D158" s="12"/>
      <c r="E158" s="13"/>
      <c r="F158" s="12"/>
      <c r="G158" s="14"/>
      <c r="H158" s="1"/>
    </row>
    <row r="159" spans="1:8" customFormat="1" x14ac:dyDescent="0.2">
      <c r="A159" s="9"/>
      <c r="B159" s="10"/>
      <c r="C159" s="11"/>
      <c r="D159" s="12"/>
      <c r="E159" s="13"/>
      <c r="F159" s="12"/>
      <c r="G159" s="14"/>
      <c r="H159" s="1"/>
    </row>
    <row r="160" spans="1:8" customFormat="1" x14ac:dyDescent="0.2">
      <c r="A160" s="9"/>
      <c r="B160" s="10"/>
      <c r="C160" s="11"/>
      <c r="D160" s="12"/>
      <c r="E160" s="13"/>
      <c r="F160" s="12"/>
      <c r="G160" s="14"/>
      <c r="H160" s="1"/>
    </row>
    <row r="161" spans="1:8" customFormat="1" x14ac:dyDescent="0.2">
      <c r="A161" s="9"/>
      <c r="B161" s="10"/>
      <c r="C161" s="11"/>
      <c r="D161" s="12"/>
      <c r="E161" s="13"/>
      <c r="F161" s="12"/>
      <c r="G161" s="14"/>
      <c r="H161" s="1"/>
    </row>
    <row r="162" spans="1:8" customFormat="1" x14ac:dyDescent="0.2">
      <c r="A162" s="9"/>
      <c r="B162" s="10"/>
      <c r="C162" s="11"/>
      <c r="D162" s="12"/>
      <c r="E162" s="13"/>
      <c r="F162" s="12"/>
      <c r="G162" s="14"/>
      <c r="H162" s="1"/>
    </row>
    <row r="163" spans="1:8" customFormat="1" x14ac:dyDescent="0.2">
      <c r="A163" s="9"/>
      <c r="B163" s="10"/>
      <c r="C163" s="11"/>
      <c r="D163" s="12"/>
      <c r="E163" s="13"/>
      <c r="F163" s="12"/>
      <c r="G163" s="14"/>
      <c r="H163" s="1"/>
    </row>
    <row r="164" spans="1:8" customFormat="1" x14ac:dyDescent="0.2">
      <c r="A164" s="9"/>
      <c r="B164" s="10"/>
      <c r="C164" s="11"/>
      <c r="D164" s="12"/>
      <c r="E164" s="13"/>
      <c r="F164" s="12"/>
      <c r="G164" s="14"/>
      <c r="H164" s="1"/>
    </row>
    <row r="165" spans="1:8" customFormat="1" x14ac:dyDescent="0.2">
      <c r="A165" s="9"/>
      <c r="B165" s="10"/>
      <c r="C165" s="11"/>
      <c r="D165" s="12"/>
      <c r="E165" s="13"/>
      <c r="F165" s="12"/>
      <c r="G165" s="14"/>
      <c r="H165" s="1"/>
    </row>
    <row r="166" spans="1:8" customFormat="1" x14ac:dyDescent="0.2">
      <c r="A166" s="9"/>
      <c r="B166" s="10"/>
      <c r="C166" s="11"/>
      <c r="D166" s="12"/>
      <c r="E166" s="13"/>
      <c r="F166" s="12"/>
      <c r="G166" s="14"/>
      <c r="H166" s="1"/>
    </row>
    <row r="167" spans="1:8" customFormat="1" x14ac:dyDescent="0.2">
      <c r="A167" s="9"/>
      <c r="B167" s="10"/>
      <c r="C167" s="11"/>
      <c r="D167" s="12"/>
      <c r="E167" s="13"/>
      <c r="F167" s="12"/>
      <c r="G167" s="14"/>
      <c r="H167" s="1"/>
    </row>
    <row r="168" spans="1:8" customFormat="1" x14ac:dyDescent="0.2">
      <c r="A168" s="9"/>
      <c r="B168" s="10"/>
      <c r="C168" s="11"/>
      <c r="D168" s="12"/>
      <c r="E168" s="13"/>
      <c r="F168" s="12"/>
      <c r="G168" s="14"/>
      <c r="H168" s="1"/>
    </row>
    <row r="169" spans="1:8" customFormat="1" x14ac:dyDescent="0.2">
      <c r="A169" s="9"/>
      <c r="B169" s="10"/>
      <c r="C169" s="11"/>
      <c r="D169" s="12"/>
      <c r="E169" s="13"/>
      <c r="F169" s="12"/>
      <c r="G169" s="14"/>
      <c r="H169" s="1"/>
    </row>
    <row r="170" spans="1:8" customFormat="1" x14ac:dyDescent="0.2">
      <c r="A170" s="9"/>
      <c r="B170" s="10"/>
      <c r="C170" s="11"/>
      <c r="D170" s="12"/>
      <c r="E170" s="13"/>
      <c r="F170" s="12"/>
      <c r="G170" s="14"/>
      <c r="H170" s="1"/>
    </row>
    <row r="171" spans="1:8" customFormat="1" x14ac:dyDescent="0.2">
      <c r="A171" s="9"/>
      <c r="B171" s="10"/>
      <c r="C171" s="11"/>
      <c r="D171" s="12"/>
      <c r="E171" s="13"/>
      <c r="F171" s="12"/>
      <c r="G171" s="14"/>
      <c r="H171" s="1"/>
    </row>
    <row r="172" spans="1:8" customFormat="1" x14ac:dyDescent="0.2">
      <c r="A172" s="9"/>
      <c r="B172" s="10"/>
      <c r="C172" s="11"/>
      <c r="D172" s="12"/>
      <c r="E172" s="13"/>
      <c r="F172" s="12"/>
      <c r="G172" s="14"/>
      <c r="H172" s="1"/>
    </row>
    <row r="173" spans="1:8" customFormat="1" x14ac:dyDescent="0.2">
      <c r="A173" s="9"/>
      <c r="B173" s="10"/>
      <c r="C173" s="11"/>
      <c r="D173" s="12"/>
      <c r="E173" s="13"/>
      <c r="F173" s="12"/>
      <c r="G173" s="14"/>
      <c r="H173" s="1"/>
    </row>
    <row r="174" spans="1:8" customFormat="1" x14ac:dyDescent="0.2">
      <c r="A174" s="9"/>
      <c r="B174" s="10"/>
      <c r="C174" s="11"/>
      <c r="D174" s="12"/>
      <c r="E174" s="13"/>
      <c r="F174" s="12"/>
      <c r="G174" s="14"/>
      <c r="H174" s="1"/>
    </row>
    <row r="175" spans="1:8" customFormat="1" x14ac:dyDescent="0.2">
      <c r="A175" s="9"/>
      <c r="B175" s="10"/>
      <c r="C175" s="11"/>
      <c r="D175" s="12"/>
      <c r="E175" s="13"/>
      <c r="F175" s="12"/>
      <c r="G175" s="14"/>
      <c r="H175" s="1"/>
    </row>
    <row r="176" spans="1:8" customFormat="1" x14ac:dyDescent="0.2">
      <c r="A176" s="9"/>
      <c r="B176" s="10"/>
      <c r="C176" s="11"/>
      <c r="D176" s="12"/>
      <c r="E176" s="13"/>
      <c r="F176" s="12"/>
      <c r="G176" s="14"/>
      <c r="H176" s="1"/>
    </row>
    <row r="177" spans="1:8" customFormat="1" x14ac:dyDescent="0.2">
      <c r="A177" s="9"/>
      <c r="B177" s="10"/>
      <c r="C177" s="11"/>
      <c r="D177" s="12"/>
      <c r="E177" s="13"/>
      <c r="F177" s="12"/>
      <c r="G177" s="14"/>
      <c r="H177" s="1"/>
    </row>
    <row r="178" spans="1:8" customFormat="1" x14ac:dyDescent="0.2">
      <c r="A178" s="9"/>
      <c r="B178" s="10"/>
      <c r="C178" s="11"/>
      <c r="D178" s="12"/>
      <c r="E178" s="13"/>
      <c r="F178" s="12"/>
      <c r="G178" s="14"/>
      <c r="H178" s="1"/>
    </row>
    <row r="179" spans="1:8" customFormat="1" x14ac:dyDescent="0.2">
      <c r="A179" s="9"/>
      <c r="B179" s="10"/>
      <c r="C179" s="11"/>
      <c r="D179" s="12"/>
      <c r="E179" s="13"/>
      <c r="F179" s="12"/>
      <c r="G179" s="14"/>
      <c r="H179" s="1"/>
    </row>
    <row r="180" spans="1:8" customFormat="1" x14ac:dyDescent="0.2">
      <c r="A180" s="9"/>
      <c r="B180" s="10"/>
      <c r="C180" s="11"/>
      <c r="D180" s="12"/>
      <c r="E180" s="13"/>
      <c r="F180" s="12"/>
      <c r="G180" s="14"/>
      <c r="H180" s="1"/>
    </row>
    <row r="181" spans="1:8" customFormat="1" x14ac:dyDescent="0.2">
      <c r="A181" s="9"/>
      <c r="B181" s="10"/>
      <c r="C181" s="11"/>
      <c r="D181" s="12"/>
      <c r="E181" s="13"/>
      <c r="F181" s="12"/>
      <c r="G181" s="14"/>
      <c r="H181" s="1"/>
    </row>
    <row r="182" spans="1:8" customFormat="1" x14ac:dyDescent="0.2">
      <c r="A182" s="9"/>
      <c r="B182" s="10"/>
      <c r="C182" s="11"/>
      <c r="D182" s="12"/>
      <c r="E182" s="13"/>
      <c r="F182" s="12"/>
      <c r="G182" s="14"/>
      <c r="H182" s="1"/>
    </row>
    <row r="183" spans="1:8" customFormat="1" x14ac:dyDescent="0.2">
      <c r="A183" s="9"/>
      <c r="B183" s="10"/>
      <c r="C183" s="11"/>
      <c r="D183" s="12"/>
      <c r="E183" s="13"/>
      <c r="F183" s="12"/>
      <c r="G183" s="14"/>
      <c r="H183" s="1"/>
    </row>
    <row r="184" spans="1:8" customFormat="1" x14ac:dyDescent="0.2">
      <c r="A184" s="9"/>
      <c r="B184" s="10"/>
      <c r="C184" s="11"/>
      <c r="D184" s="12"/>
      <c r="E184" s="13"/>
      <c r="F184" s="12"/>
      <c r="G184" s="14"/>
      <c r="H184" s="1"/>
    </row>
    <row r="185" spans="1:8" customFormat="1" x14ac:dyDescent="0.2">
      <c r="A185" s="9"/>
      <c r="B185" s="10"/>
      <c r="C185" s="11"/>
      <c r="D185" s="12"/>
      <c r="E185" s="13"/>
      <c r="F185" s="12"/>
      <c r="G185" s="14"/>
      <c r="H185" s="1"/>
    </row>
    <row r="186" spans="1:8" customFormat="1" x14ac:dyDescent="0.2">
      <c r="A186" s="9"/>
      <c r="B186" s="10"/>
      <c r="C186" s="11"/>
      <c r="D186" s="12"/>
      <c r="E186" s="13"/>
      <c r="F186" s="12"/>
      <c r="G186" s="14"/>
      <c r="H186" s="1"/>
    </row>
    <row r="187" spans="1:8" customFormat="1" x14ac:dyDescent="0.2">
      <c r="A187" s="9"/>
      <c r="B187" s="10"/>
      <c r="C187" s="11"/>
      <c r="D187" s="12"/>
      <c r="E187" s="13"/>
      <c r="F187" s="12"/>
      <c r="G187" s="14"/>
      <c r="H187" s="1"/>
    </row>
    <row r="188" spans="1:8" customFormat="1" x14ac:dyDescent="0.2">
      <c r="A188" s="9"/>
      <c r="B188" s="10"/>
      <c r="C188" s="11"/>
      <c r="D188" s="12"/>
      <c r="E188" s="13"/>
      <c r="F188" s="12"/>
      <c r="G188" s="14"/>
      <c r="H188" s="1"/>
    </row>
    <row r="189" spans="1:8" customFormat="1" x14ac:dyDescent="0.2">
      <c r="A189" s="9"/>
      <c r="B189" s="10"/>
      <c r="C189" s="11"/>
      <c r="D189" s="12"/>
      <c r="E189" s="13"/>
      <c r="F189" s="12"/>
      <c r="G189" s="14"/>
      <c r="H189" s="1"/>
    </row>
    <row r="190" spans="1:8" customFormat="1" x14ac:dyDescent="0.2">
      <c r="A190" s="9"/>
      <c r="B190" s="10"/>
      <c r="C190" s="11"/>
      <c r="D190" s="12"/>
      <c r="E190" s="13"/>
      <c r="F190" s="12"/>
      <c r="G190" s="14"/>
      <c r="H190" s="1"/>
    </row>
    <row r="191" spans="1:8" customFormat="1" x14ac:dyDescent="0.2">
      <c r="A191" s="9"/>
      <c r="B191" s="10"/>
      <c r="C191" s="11"/>
      <c r="D191" s="12"/>
      <c r="E191" s="13"/>
      <c r="F191" s="12"/>
      <c r="G191" s="14"/>
      <c r="H191" s="1"/>
    </row>
    <row r="192" spans="1:8" customFormat="1" x14ac:dyDescent="0.2">
      <c r="A192" s="9"/>
      <c r="B192" s="10"/>
      <c r="C192" s="11"/>
      <c r="D192" s="12"/>
      <c r="E192" s="13"/>
      <c r="F192" s="12"/>
      <c r="G192" s="14"/>
      <c r="H192" s="1"/>
    </row>
    <row r="193" spans="1:8" customFormat="1" x14ac:dyDescent="0.2">
      <c r="A193" s="9"/>
      <c r="B193" s="10"/>
      <c r="C193" s="11"/>
      <c r="D193" s="12"/>
      <c r="E193" s="13"/>
      <c r="F193" s="12"/>
      <c r="G193" s="14"/>
      <c r="H193" s="1"/>
    </row>
    <row r="194" spans="1:8" customFormat="1" x14ac:dyDescent="0.2">
      <c r="A194" s="9"/>
      <c r="B194" s="10"/>
      <c r="C194" s="11"/>
      <c r="D194" s="12"/>
      <c r="E194" s="13"/>
      <c r="F194" s="12"/>
      <c r="G194" s="14"/>
      <c r="H194" s="1"/>
    </row>
    <row r="195" spans="1:8" customFormat="1" x14ac:dyDescent="0.2">
      <c r="A195" s="9"/>
      <c r="B195" s="10"/>
      <c r="C195" s="11"/>
      <c r="D195" s="12"/>
      <c r="E195" s="13"/>
      <c r="F195" s="12"/>
      <c r="G195" s="14"/>
      <c r="H195" s="1"/>
    </row>
    <row r="196" spans="1:8" customFormat="1" x14ac:dyDescent="0.2">
      <c r="A196" s="9"/>
      <c r="B196" s="10"/>
      <c r="C196" s="11"/>
      <c r="D196" s="12"/>
      <c r="E196" s="13"/>
      <c r="F196" s="12"/>
      <c r="G196" s="14"/>
      <c r="H196" s="1"/>
    </row>
    <row r="197" spans="1:8" customFormat="1" x14ac:dyDescent="0.2">
      <c r="A197" s="9"/>
      <c r="B197" s="10"/>
      <c r="C197" s="11"/>
      <c r="D197" s="12"/>
      <c r="E197" s="13"/>
      <c r="F197" s="12"/>
      <c r="G197" s="14"/>
      <c r="H197" s="1"/>
    </row>
    <row r="198" spans="1:8" customFormat="1" x14ac:dyDescent="0.2">
      <c r="A198" s="9"/>
      <c r="B198" s="10"/>
      <c r="C198" s="11"/>
      <c r="D198" s="12"/>
      <c r="E198" s="13"/>
      <c r="F198" s="12"/>
      <c r="G198" s="14"/>
      <c r="H198" s="1"/>
    </row>
    <row r="199" spans="1:8" customFormat="1" x14ac:dyDescent="0.2">
      <c r="A199" s="9"/>
      <c r="B199" s="10"/>
      <c r="C199" s="11"/>
      <c r="D199" s="12"/>
      <c r="E199" s="13"/>
      <c r="F199" s="12"/>
      <c r="G199" s="14"/>
      <c r="H199" s="1"/>
    </row>
    <row r="200" spans="1:8" customFormat="1" x14ac:dyDescent="0.2">
      <c r="A200" s="9"/>
      <c r="B200" s="10"/>
      <c r="C200" s="11"/>
      <c r="D200" s="12"/>
      <c r="E200" s="13"/>
      <c r="F200" s="12"/>
      <c r="G200" s="14"/>
      <c r="H200" s="1"/>
    </row>
    <row r="201" spans="1:8" customFormat="1" x14ac:dyDescent="0.2">
      <c r="A201" s="9"/>
      <c r="B201" s="10"/>
      <c r="C201" s="11"/>
      <c r="D201" s="12"/>
      <c r="E201" s="13"/>
      <c r="F201" s="12"/>
      <c r="G201" s="14"/>
      <c r="H201" s="1"/>
    </row>
    <row r="202" spans="1:8" customFormat="1" x14ac:dyDescent="0.2">
      <c r="A202" s="9"/>
      <c r="B202" s="10"/>
      <c r="C202" s="11"/>
      <c r="D202" s="12"/>
      <c r="E202" s="13"/>
      <c r="F202" s="12"/>
      <c r="G202" s="14"/>
      <c r="H202" s="1"/>
    </row>
    <row r="203" spans="1:8" customFormat="1" x14ac:dyDescent="0.2">
      <c r="A203" s="9"/>
      <c r="B203" s="10"/>
      <c r="C203" s="11"/>
      <c r="D203" s="12"/>
      <c r="E203" s="13"/>
      <c r="F203" s="12"/>
      <c r="G203" s="14"/>
      <c r="H203" s="1"/>
    </row>
    <row r="204" spans="1:8" customFormat="1" x14ac:dyDescent="0.2">
      <c r="A204" s="9"/>
      <c r="B204" s="10"/>
      <c r="C204" s="11"/>
      <c r="D204" s="12"/>
      <c r="E204" s="13"/>
      <c r="F204" s="12"/>
      <c r="G204" s="14"/>
      <c r="H204" s="1"/>
    </row>
    <row r="205" spans="1:8" customFormat="1" x14ac:dyDescent="0.2">
      <c r="A205" s="9"/>
      <c r="B205" s="10"/>
      <c r="C205" s="11"/>
      <c r="D205" s="12"/>
      <c r="E205" s="13"/>
      <c r="F205" s="12"/>
      <c r="G205" s="14"/>
      <c r="H205" s="1"/>
    </row>
    <row r="206" spans="1:8" customFormat="1" x14ac:dyDescent="0.2">
      <c r="A206" s="9"/>
      <c r="B206" s="10"/>
      <c r="C206" s="11"/>
      <c r="D206" s="12"/>
      <c r="E206" s="13"/>
      <c r="F206" s="12"/>
      <c r="G206" s="14"/>
      <c r="H206" s="1"/>
    </row>
    <row r="207" spans="1:8" customFormat="1" x14ac:dyDescent="0.2">
      <c r="A207" s="9"/>
      <c r="B207" s="10"/>
      <c r="C207" s="11"/>
      <c r="D207" s="12"/>
      <c r="E207" s="13"/>
      <c r="F207" s="12"/>
      <c r="G207" s="14"/>
      <c r="H207" s="1"/>
    </row>
    <row r="208" spans="1:8" customFormat="1" x14ac:dyDescent="0.2">
      <c r="A208" s="9"/>
      <c r="B208" s="10"/>
      <c r="C208" s="11"/>
      <c r="D208" s="12"/>
      <c r="E208" s="13"/>
      <c r="F208" s="12"/>
      <c r="G208" s="14"/>
      <c r="H208" s="1"/>
    </row>
    <row r="209" spans="1:8" customFormat="1" x14ac:dyDescent="0.2">
      <c r="A209" s="9"/>
      <c r="B209" s="10"/>
      <c r="C209" s="11"/>
      <c r="D209" s="12"/>
      <c r="E209" s="13"/>
      <c r="F209" s="12"/>
      <c r="G209" s="14"/>
      <c r="H209" s="1"/>
    </row>
    <row r="210" spans="1:8" customFormat="1" x14ac:dyDescent="0.2">
      <c r="A210" s="9"/>
      <c r="B210" s="10"/>
      <c r="C210" s="11"/>
      <c r="D210" s="12"/>
      <c r="E210" s="13"/>
      <c r="F210" s="12"/>
      <c r="G210" s="14"/>
      <c r="H210" s="1"/>
    </row>
    <row r="211" spans="1:8" customFormat="1" x14ac:dyDescent="0.2">
      <c r="A211" s="9"/>
      <c r="B211" s="10"/>
      <c r="C211" s="11"/>
      <c r="D211" s="12"/>
      <c r="E211" s="13"/>
      <c r="F211" s="12"/>
      <c r="G211" s="14"/>
      <c r="H211" s="1"/>
    </row>
    <row r="212" spans="1:8" customFormat="1" x14ac:dyDescent="0.2">
      <c r="A212" s="9"/>
      <c r="B212" s="10"/>
      <c r="C212" s="11"/>
      <c r="D212" s="12"/>
      <c r="E212" s="13"/>
      <c r="F212" s="12"/>
      <c r="G212" s="14"/>
      <c r="H212" s="1"/>
    </row>
    <row r="213" spans="1:8" customFormat="1" x14ac:dyDescent="0.2">
      <c r="A213" s="9"/>
      <c r="B213" s="10"/>
      <c r="C213" s="11"/>
      <c r="D213" s="12"/>
      <c r="E213" s="13"/>
      <c r="F213" s="12"/>
      <c r="G213" s="14"/>
      <c r="H213" s="1"/>
    </row>
    <row r="214" spans="1:8" customFormat="1" x14ac:dyDescent="0.2">
      <c r="A214" s="9"/>
      <c r="B214" s="10"/>
      <c r="C214" s="11"/>
      <c r="D214" s="12"/>
      <c r="E214" s="13"/>
      <c r="F214" s="12"/>
      <c r="G214" s="14"/>
      <c r="H214" s="1"/>
    </row>
    <row r="215" spans="1:8" customFormat="1" x14ac:dyDescent="0.2">
      <c r="A215" s="9"/>
      <c r="B215" s="10"/>
      <c r="C215" s="11"/>
      <c r="D215" s="12"/>
      <c r="E215" s="13"/>
      <c r="F215" s="12"/>
      <c r="G215" s="14"/>
      <c r="H215" s="1"/>
    </row>
    <row r="216" spans="1:8" customFormat="1" x14ac:dyDescent="0.2">
      <c r="A216" s="9"/>
      <c r="B216" s="10"/>
      <c r="C216" s="11"/>
      <c r="D216" s="12"/>
      <c r="E216" s="13"/>
      <c r="F216" s="12"/>
      <c r="G216" s="14"/>
      <c r="H216" s="1"/>
    </row>
    <row r="217" spans="1:8" customFormat="1" x14ac:dyDescent="0.2">
      <c r="A217" s="9"/>
      <c r="B217" s="10"/>
      <c r="C217" s="11"/>
      <c r="D217" s="12"/>
      <c r="E217" s="13"/>
      <c r="F217" s="12"/>
      <c r="G217" s="14"/>
      <c r="H217" s="1"/>
    </row>
    <row r="218" spans="1:8" customFormat="1" x14ac:dyDescent="0.2">
      <c r="A218" s="9"/>
      <c r="B218" s="10"/>
      <c r="C218" s="11"/>
      <c r="D218" s="12"/>
      <c r="E218" s="13"/>
      <c r="F218" s="12"/>
      <c r="G218" s="14"/>
      <c r="H218" s="1"/>
    </row>
    <row r="219" spans="1:8" customFormat="1" x14ac:dyDescent="0.2">
      <c r="A219" s="9"/>
      <c r="B219" s="10"/>
      <c r="C219" s="11"/>
      <c r="D219" s="12"/>
      <c r="E219" s="13"/>
      <c r="F219" s="12"/>
      <c r="G219" s="14"/>
      <c r="H219" s="1"/>
    </row>
    <row r="220" spans="1:8" customFormat="1" x14ac:dyDescent="0.2">
      <c r="A220" s="9"/>
      <c r="B220" s="10"/>
      <c r="C220" s="11"/>
      <c r="D220" s="12"/>
      <c r="E220" s="13"/>
      <c r="F220" s="12"/>
      <c r="G220" s="14"/>
      <c r="H220" s="1"/>
    </row>
    <row r="221" spans="1:8" customFormat="1" x14ac:dyDescent="0.2">
      <c r="A221" s="9"/>
      <c r="B221" s="10"/>
      <c r="C221" s="11"/>
      <c r="D221" s="12"/>
      <c r="E221" s="13"/>
      <c r="F221" s="12"/>
      <c r="G221" s="14"/>
      <c r="H221" s="1"/>
    </row>
    <row r="222" spans="1:8" customFormat="1" x14ac:dyDescent="0.2">
      <c r="A222" s="9"/>
      <c r="B222" s="10"/>
      <c r="C222" s="11"/>
      <c r="D222" s="12"/>
      <c r="E222" s="13"/>
      <c r="F222" s="12"/>
      <c r="G222" s="14"/>
      <c r="H222" s="1"/>
    </row>
    <row r="223" spans="1:8" customFormat="1" x14ac:dyDescent="0.2">
      <c r="A223" s="9"/>
      <c r="B223" s="10"/>
      <c r="C223" s="11"/>
      <c r="D223" s="12"/>
      <c r="E223" s="13"/>
      <c r="F223" s="12"/>
      <c r="G223" s="14"/>
      <c r="H223" s="1"/>
    </row>
    <row r="224" spans="1:8" customFormat="1" x14ac:dyDescent="0.2">
      <c r="A224" s="9"/>
      <c r="B224" s="10"/>
      <c r="C224" s="11"/>
      <c r="D224" s="12"/>
      <c r="E224" s="13"/>
      <c r="F224" s="12"/>
      <c r="G224" s="14"/>
      <c r="H224" s="1"/>
    </row>
    <row r="225" spans="1:8" customFormat="1" x14ac:dyDescent="0.2">
      <c r="A225" s="9"/>
      <c r="B225" s="10"/>
      <c r="C225" s="11"/>
      <c r="D225" s="12"/>
      <c r="E225" s="13"/>
      <c r="F225" s="12"/>
      <c r="G225" s="14"/>
      <c r="H225" s="1"/>
    </row>
    <row r="226" spans="1:8" customFormat="1" x14ac:dyDescent="0.2">
      <c r="A226" s="9"/>
      <c r="B226" s="10"/>
      <c r="C226" s="11"/>
      <c r="D226" s="12"/>
      <c r="E226" s="13"/>
      <c r="F226" s="12"/>
      <c r="G226" s="14"/>
      <c r="H226" s="1"/>
    </row>
    <row r="227" spans="1:8" customFormat="1" x14ac:dyDescent="0.2">
      <c r="A227" s="9"/>
      <c r="B227" s="10"/>
      <c r="C227" s="11"/>
      <c r="D227" s="12"/>
      <c r="E227" s="13"/>
      <c r="F227" s="12"/>
      <c r="G227" s="14"/>
      <c r="H227" s="1"/>
    </row>
    <row r="228" spans="1:8" customFormat="1" x14ac:dyDescent="0.2">
      <c r="A228" s="9"/>
      <c r="B228" s="10"/>
      <c r="C228" s="11"/>
      <c r="D228" s="12"/>
      <c r="E228" s="13"/>
      <c r="F228" s="12"/>
      <c r="G228" s="14"/>
      <c r="H228" s="1"/>
    </row>
    <row r="229" spans="1:8" customFormat="1" x14ac:dyDescent="0.2">
      <c r="A229" s="9"/>
      <c r="B229" s="10"/>
      <c r="C229" s="11"/>
      <c r="D229" s="12"/>
      <c r="E229" s="13"/>
      <c r="F229" s="12"/>
      <c r="G229" s="14"/>
      <c r="H229" s="1"/>
    </row>
    <row r="230" spans="1:8" customFormat="1" x14ac:dyDescent="0.2">
      <c r="A230" s="9"/>
      <c r="B230" s="10"/>
      <c r="C230" s="11"/>
      <c r="D230" s="12"/>
      <c r="E230" s="13"/>
      <c r="F230" s="12"/>
      <c r="G230" s="14"/>
      <c r="H230" s="1"/>
    </row>
    <row r="231" spans="1:8" customFormat="1" x14ac:dyDescent="0.2">
      <c r="A231" s="9"/>
      <c r="B231" s="10"/>
      <c r="C231" s="11"/>
      <c r="D231" s="12"/>
      <c r="E231" s="13"/>
      <c r="F231" s="12"/>
      <c r="G231" s="14"/>
      <c r="H231" s="1"/>
    </row>
    <row r="232" spans="1:8" customFormat="1" x14ac:dyDescent="0.2">
      <c r="A232" s="9"/>
      <c r="B232" s="10"/>
      <c r="C232" s="11"/>
      <c r="D232" s="12"/>
      <c r="E232" s="13"/>
      <c r="F232" s="12"/>
      <c r="G232" s="14"/>
      <c r="H232" s="1"/>
    </row>
    <row r="233" spans="1:8" customFormat="1" x14ac:dyDescent="0.2">
      <c r="A233" s="9"/>
      <c r="B233" s="10"/>
      <c r="C233" s="11"/>
      <c r="D233" s="12"/>
      <c r="E233" s="13"/>
      <c r="F233" s="12"/>
      <c r="G233" s="14"/>
      <c r="H233" s="1"/>
    </row>
    <row r="234" spans="1:8" customFormat="1" x14ac:dyDescent="0.2">
      <c r="A234" s="9"/>
      <c r="B234" s="10"/>
      <c r="C234" s="11"/>
      <c r="D234" s="12"/>
      <c r="E234" s="13"/>
      <c r="F234" s="12"/>
      <c r="G234" s="14"/>
      <c r="H234" s="1"/>
    </row>
    <row r="235" spans="1:8" customFormat="1" x14ac:dyDescent="0.2">
      <c r="A235" s="9"/>
      <c r="B235" s="10"/>
      <c r="C235" s="11"/>
      <c r="D235" s="12"/>
      <c r="E235" s="13"/>
      <c r="F235" s="12"/>
      <c r="G235" s="14"/>
      <c r="H235" s="1"/>
    </row>
    <row r="236" spans="1:8" customFormat="1" x14ac:dyDescent="0.2">
      <c r="A236" s="9"/>
      <c r="B236" s="10"/>
      <c r="C236" s="11"/>
      <c r="D236" s="12"/>
      <c r="E236" s="13"/>
      <c r="F236" s="12"/>
      <c r="G236" s="14"/>
      <c r="H236" s="1"/>
    </row>
    <row r="237" spans="1:8" customFormat="1" x14ac:dyDescent="0.2">
      <c r="A237" s="9"/>
      <c r="B237" s="10"/>
      <c r="C237" s="11"/>
      <c r="D237" s="12"/>
      <c r="E237" s="13"/>
      <c r="F237" s="12"/>
      <c r="G237" s="14"/>
      <c r="H237" s="1"/>
    </row>
    <row r="238" spans="1:8" customFormat="1" x14ac:dyDescent="0.2">
      <c r="A238" s="9"/>
      <c r="B238" s="10"/>
      <c r="C238" s="11"/>
      <c r="D238" s="12"/>
      <c r="E238" s="13"/>
      <c r="F238" s="12"/>
      <c r="G238" s="14"/>
      <c r="H238" s="1"/>
    </row>
    <row r="239" spans="1:8" customFormat="1" x14ac:dyDescent="0.2">
      <c r="A239" s="9"/>
      <c r="B239" s="10"/>
      <c r="C239" s="11"/>
      <c r="D239" s="12"/>
      <c r="E239" s="13"/>
      <c r="F239" s="12"/>
      <c r="G239" s="14"/>
      <c r="H239" s="1"/>
    </row>
    <row r="240" spans="1:8" customFormat="1" x14ac:dyDescent="0.2">
      <c r="A240" s="9"/>
      <c r="B240" s="10"/>
      <c r="C240" s="11"/>
      <c r="D240" s="12"/>
      <c r="E240" s="13"/>
      <c r="F240" s="12"/>
      <c r="G240" s="14"/>
      <c r="H240" s="1"/>
    </row>
    <row r="241" spans="1:8" customFormat="1" x14ac:dyDescent="0.2">
      <c r="A241" s="9"/>
      <c r="B241" s="10"/>
      <c r="C241" s="11"/>
      <c r="D241" s="12"/>
      <c r="E241" s="13"/>
      <c r="F241" s="12"/>
      <c r="G241" s="14"/>
      <c r="H241" s="1"/>
    </row>
    <row r="242" spans="1:8" customFormat="1" x14ac:dyDescent="0.2">
      <c r="A242" s="9"/>
      <c r="B242" s="10"/>
      <c r="C242" s="11"/>
      <c r="D242" s="12"/>
      <c r="E242" s="13"/>
      <c r="F242" s="12"/>
      <c r="G242" s="14"/>
      <c r="H242" s="1"/>
    </row>
    <row r="243" spans="1:8" customFormat="1" x14ac:dyDescent="0.2">
      <c r="A243" s="9"/>
      <c r="B243" s="10"/>
      <c r="C243" s="11"/>
      <c r="D243" s="12"/>
      <c r="E243" s="13"/>
      <c r="F243" s="12"/>
      <c r="G243" s="14"/>
      <c r="H243" s="1"/>
    </row>
    <row r="244" spans="1:8" customFormat="1" x14ac:dyDescent="0.2">
      <c r="A244" s="9"/>
      <c r="B244" s="10"/>
      <c r="C244" s="11"/>
      <c r="D244" s="12"/>
      <c r="E244" s="13"/>
      <c r="F244" s="12"/>
      <c r="G244" s="14"/>
      <c r="H244" s="1"/>
    </row>
    <row r="245" spans="1:8" customFormat="1" x14ac:dyDescent="0.2">
      <c r="A245" s="9"/>
      <c r="B245" s="10"/>
      <c r="C245" s="11"/>
      <c r="D245" s="12"/>
      <c r="E245" s="13"/>
      <c r="F245" s="12"/>
      <c r="G245" s="14"/>
      <c r="H245" s="1"/>
    </row>
    <row r="246" spans="1:8" customFormat="1" x14ac:dyDescent="0.2">
      <c r="A246" s="9"/>
      <c r="B246" s="10"/>
      <c r="C246" s="11"/>
      <c r="D246" s="12"/>
      <c r="E246" s="13"/>
      <c r="F246" s="12"/>
      <c r="G246" s="14"/>
      <c r="H246" s="1"/>
    </row>
    <row r="247" spans="1:8" customFormat="1" x14ac:dyDescent="0.2">
      <c r="A247" s="9"/>
      <c r="B247" s="10"/>
      <c r="C247" s="11"/>
      <c r="D247" s="12"/>
      <c r="E247" s="13"/>
      <c r="F247" s="12"/>
      <c r="G247" s="14"/>
      <c r="H247" s="1"/>
    </row>
    <row r="248" spans="1:8" customFormat="1" x14ac:dyDescent="0.2">
      <c r="A248" s="9"/>
      <c r="B248" s="10"/>
      <c r="C248" s="11"/>
      <c r="D248" s="12"/>
      <c r="E248" s="13"/>
      <c r="F248" s="12"/>
      <c r="G248" s="14"/>
      <c r="H248" s="1"/>
    </row>
    <row r="249" spans="1:8" customFormat="1" x14ac:dyDescent="0.2">
      <c r="A249" s="9"/>
      <c r="B249" s="10"/>
      <c r="C249" s="11"/>
      <c r="D249" s="12"/>
      <c r="E249" s="13"/>
      <c r="F249" s="12"/>
      <c r="G249" s="14"/>
      <c r="H249" s="1"/>
    </row>
    <row r="250" spans="1:8" customFormat="1" x14ac:dyDescent="0.2">
      <c r="A250" s="9"/>
      <c r="B250" s="10"/>
      <c r="C250" s="11"/>
      <c r="D250" s="12"/>
      <c r="E250" s="13"/>
      <c r="F250" s="12"/>
      <c r="G250" s="14"/>
      <c r="H250" s="1"/>
    </row>
    <row r="251" spans="1:8" customFormat="1" x14ac:dyDescent="0.2">
      <c r="A251" s="9"/>
      <c r="B251" s="10"/>
      <c r="C251" s="11"/>
      <c r="D251" s="12"/>
      <c r="E251" s="13"/>
      <c r="F251" s="12"/>
      <c r="G251" s="14"/>
      <c r="H251" s="1"/>
    </row>
    <row r="252" spans="1:8" customFormat="1" x14ac:dyDescent="0.2">
      <c r="A252" s="9"/>
      <c r="B252" s="10"/>
      <c r="C252" s="11"/>
      <c r="D252" s="12"/>
      <c r="E252" s="13"/>
      <c r="F252" s="12"/>
      <c r="G252" s="14"/>
      <c r="H252" s="1"/>
    </row>
    <row r="253" spans="1:8" customFormat="1" x14ac:dyDescent="0.2">
      <c r="A253" s="9"/>
      <c r="B253" s="10"/>
      <c r="C253" s="11"/>
      <c r="D253" s="12"/>
      <c r="E253" s="13"/>
      <c r="F253" s="12"/>
      <c r="G253" s="14"/>
      <c r="H253" s="1"/>
    </row>
    <row r="254" spans="1:8" customFormat="1" x14ac:dyDescent="0.2">
      <c r="A254" s="9"/>
      <c r="B254" s="10"/>
      <c r="C254" s="11"/>
      <c r="D254" s="12"/>
      <c r="E254" s="13"/>
      <c r="F254" s="12"/>
      <c r="G254" s="14"/>
      <c r="H254" s="1"/>
    </row>
    <row r="255" spans="1:8" customFormat="1" x14ac:dyDescent="0.2">
      <c r="A255" s="9"/>
      <c r="B255" s="10"/>
      <c r="C255" s="11"/>
      <c r="D255" s="12"/>
      <c r="E255" s="13"/>
      <c r="F255" s="12"/>
      <c r="G255" s="14"/>
      <c r="H255" s="1"/>
    </row>
    <row r="256" spans="1:8" customFormat="1" x14ac:dyDescent="0.2">
      <c r="A256" s="9"/>
      <c r="B256" s="10"/>
      <c r="C256" s="11"/>
      <c r="D256" s="12"/>
      <c r="E256" s="13"/>
      <c r="F256" s="12"/>
      <c r="G256" s="14"/>
      <c r="H256" s="1"/>
    </row>
    <row r="257" spans="1:8" customFormat="1" x14ac:dyDescent="0.2">
      <c r="A257" s="9"/>
      <c r="B257" s="10"/>
      <c r="C257" s="11"/>
      <c r="D257" s="12"/>
      <c r="E257" s="13"/>
      <c r="F257" s="12"/>
      <c r="G257" s="14"/>
      <c r="H257" s="1"/>
    </row>
    <row r="258" spans="1:8" customFormat="1" x14ac:dyDescent="0.2">
      <c r="A258" s="9"/>
      <c r="B258" s="10"/>
      <c r="C258" s="11"/>
      <c r="D258" s="12"/>
      <c r="E258" s="13"/>
      <c r="F258" s="12"/>
      <c r="G258" s="14"/>
      <c r="H258" s="1"/>
    </row>
    <row r="259" spans="1:8" customFormat="1" x14ac:dyDescent="0.2">
      <c r="A259" s="9"/>
      <c r="B259" s="10"/>
      <c r="C259" s="11"/>
      <c r="D259" s="12"/>
      <c r="E259" s="13"/>
      <c r="F259" s="12"/>
      <c r="G259" s="14"/>
      <c r="H259" s="1"/>
    </row>
    <row r="260" spans="1:8" customFormat="1" x14ac:dyDescent="0.2">
      <c r="A260" s="9"/>
      <c r="B260" s="10"/>
      <c r="C260" s="11"/>
      <c r="D260" s="12"/>
      <c r="E260" s="13"/>
      <c r="F260" s="12"/>
      <c r="G260" s="14"/>
      <c r="H260" s="1"/>
    </row>
    <row r="261" spans="1:8" customFormat="1" x14ac:dyDescent="0.2">
      <c r="A261" s="9"/>
      <c r="B261" s="10"/>
      <c r="C261" s="11"/>
      <c r="D261" s="12"/>
      <c r="E261" s="13"/>
      <c r="F261" s="12"/>
      <c r="G261" s="14"/>
      <c r="H261" s="1"/>
    </row>
    <row r="262" spans="1:8" customFormat="1" ht="13.5" thickBot="1" x14ac:dyDescent="0.25">
      <c r="A262" s="15"/>
      <c r="B262" s="16"/>
      <c r="C262" s="17"/>
      <c r="D262" s="18"/>
      <c r="E262" s="19"/>
      <c r="F262" s="18"/>
      <c r="G262" s="20"/>
      <c r="H262" s="1"/>
    </row>
    <row r="263" spans="1:8" customFormat="1" x14ac:dyDescent="0.2">
      <c r="A263" s="1"/>
      <c r="B263" s="1"/>
      <c r="C263" s="1"/>
      <c r="D263" s="1"/>
      <c r="E263" s="1"/>
      <c r="F263" s="1"/>
      <c r="G263" s="1"/>
      <c r="H263" s="1"/>
    </row>
    <row r="264" spans="1:8" customFormat="1" x14ac:dyDescent="0.2">
      <c r="A264" s="1"/>
      <c r="B264" s="1"/>
      <c r="C264" s="1"/>
      <c r="D264" s="1"/>
      <c r="E264" s="1"/>
      <c r="F264" s="1"/>
      <c r="G264" s="1"/>
      <c r="H264" s="1"/>
    </row>
    <row r="265" spans="1:8" customFormat="1" x14ac:dyDescent="0.2">
      <c r="A265" s="1"/>
      <c r="B265" s="1"/>
      <c r="C265" s="1"/>
      <c r="D265" s="1"/>
      <c r="E265" s="1"/>
      <c r="F265" s="1"/>
      <c r="G265" s="1"/>
      <c r="H265" s="1"/>
    </row>
    <row r="266" spans="1:8" customFormat="1" x14ac:dyDescent="0.2">
      <c r="A266" s="1"/>
      <c r="B266" s="1"/>
      <c r="C266" s="1"/>
      <c r="D266" s="1"/>
      <c r="E266" s="1"/>
      <c r="F266" s="1"/>
      <c r="G266" s="1"/>
      <c r="H266" s="1"/>
    </row>
    <row r="267" spans="1:8" customFormat="1" x14ac:dyDescent="0.2">
      <c r="A267" s="21"/>
      <c r="B267" s="21"/>
      <c r="C267" s="21"/>
      <c r="D267" s="21"/>
      <c r="E267" s="21"/>
      <c r="F267" s="21"/>
      <c r="G267" s="21"/>
      <c r="H267" s="21"/>
    </row>
    <row r="268" spans="1:8" customFormat="1" x14ac:dyDescent="0.2">
      <c r="A268" s="21"/>
      <c r="B268" s="21"/>
      <c r="C268" s="21"/>
      <c r="D268" s="21"/>
      <c r="E268" s="21"/>
      <c r="F268" s="21"/>
      <c r="G268" s="21"/>
      <c r="H268" s="21"/>
    </row>
    <row r="269" spans="1:8" customFormat="1" x14ac:dyDescent="0.2">
      <c r="A269" s="21"/>
      <c r="B269" s="21"/>
      <c r="C269" s="21"/>
      <c r="D269" s="21"/>
      <c r="E269" s="21"/>
      <c r="F269" s="21"/>
      <c r="G269" s="21"/>
      <c r="H269" s="21"/>
    </row>
    <row r="270" spans="1:8" customFormat="1" x14ac:dyDescent="0.2">
      <c r="A270" s="21"/>
      <c r="B270" s="21"/>
      <c r="C270" s="21"/>
      <c r="D270" s="21"/>
      <c r="E270" s="21"/>
      <c r="F270" s="21"/>
      <c r="G270" s="21"/>
      <c r="H270" s="21"/>
    </row>
    <row r="271" spans="1:8" customFormat="1" x14ac:dyDescent="0.2">
      <c r="A271" s="21"/>
      <c r="B271" s="21"/>
      <c r="C271" s="21"/>
      <c r="D271" s="21"/>
      <c r="E271" s="21"/>
      <c r="F271" s="21"/>
      <c r="G271" s="21"/>
      <c r="H271" s="21"/>
    </row>
  </sheetData>
  <mergeCells count="1">
    <mergeCell ref="A1:G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G271"/>
  <sheetViews>
    <sheetView workbookViewId="0">
      <selection activeCell="F19" sqref="F19"/>
    </sheetView>
  </sheetViews>
  <sheetFormatPr baseColWidth="10" defaultRowHeight="12.75" x14ac:dyDescent="0.2"/>
  <cols>
    <col min="2" max="2" width="12" customWidth="1"/>
    <col min="3" max="3" width="24" bestFit="1" customWidth="1"/>
    <col min="4" max="4" width="8.28515625" bestFit="1" customWidth="1"/>
    <col min="5" max="5" width="16.7109375" bestFit="1" customWidth="1"/>
    <col min="6" max="6" width="16.7109375" customWidth="1"/>
    <col min="7" max="7" width="15.28515625" customWidth="1"/>
  </cols>
  <sheetData>
    <row r="1" spans="1:7" ht="15.75" x14ac:dyDescent="0.25">
      <c r="A1" s="65" t="s">
        <v>0</v>
      </c>
      <c r="B1" s="66"/>
      <c r="C1" s="66"/>
      <c r="D1" s="66"/>
      <c r="E1" s="66"/>
      <c r="F1" s="66"/>
      <c r="G1" s="66"/>
    </row>
    <row r="2" spans="1:7" ht="13.5" thickBot="1" x14ac:dyDescent="0.25">
      <c r="A2" s="1"/>
      <c r="B2" s="1"/>
      <c r="C2" s="1"/>
      <c r="D2" s="1"/>
      <c r="E2" s="1"/>
      <c r="F2" s="1"/>
      <c r="G2" s="1"/>
    </row>
    <row r="3" spans="1:7" ht="13.5" thickBot="1" x14ac:dyDescent="0.25">
      <c r="A3" s="2" t="s">
        <v>1</v>
      </c>
      <c r="B3" s="3" t="s">
        <v>2</v>
      </c>
      <c r="C3" s="4" t="s">
        <v>3</v>
      </c>
      <c r="D3" s="5" t="s">
        <v>4</v>
      </c>
      <c r="E3" s="6" t="s">
        <v>5</v>
      </c>
      <c r="F3" s="5" t="s">
        <v>6</v>
      </c>
      <c r="G3" s="7" t="s">
        <v>7</v>
      </c>
    </row>
    <row r="4" spans="1:7" x14ac:dyDescent="0.2">
      <c r="A4" s="51">
        <v>1</v>
      </c>
      <c r="B4" s="55" t="s">
        <v>106</v>
      </c>
      <c r="C4" s="50">
        <v>16</v>
      </c>
      <c r="D4" s="57">
        <v>1766</v>
      </c>
      <c r="E4" s="60">
        <v>0.82718074924801754</v>
      </c>
      <c r="F4" s="57">
        <v>219.65899999999996</v>
      </c>
      <c r="G4" s="58" t="s">
        <v>107</v>
      </c>
    </row>
    <row r="5" spans="1:7" x14ac:dyDescent="0.2">
      <c r="A5" s="9">
        <v>2</v>
      </c>
      <c r="B5" s="10" t="s">
        <v>108</v>
      </c>
      <c r="C5" s="11">
        <v>16</v>
      </c>
      <c r="D5" s="12">
        <v>1448</v>
      </c>
      <c r="E5" s="13">
        <v>0.74022422750888706</v>
      </c>
      <c r="F5" s="12">
        <v>261.86900000000003</v>
      </c>
      <c r="G5" s="14" t="s">
        <v>107</v>
      </c>
    </row>
    <row r="6" spans="1:7" x14ac:dyDescent="0.2">
      <c r="A6" s="9">
        <v>3</v>
      </c>
      <c r="B6" s="10" t="s">
        <v>119</v>
      </c>
      <c r="C6" s="11">
        <v>16</v>
      </c>
      <c r="D6" s="12">
        <v>1309</v>
      </c>
      <c r="E6" s="13">
        <v>0.70221493027071369</v>
      </c>
      <c r="F6" s="12">
        <v>364.58100000000002</v>
      </c>
      <c r="G6" s="14" t="s">
        <v>107</v>
      </c>
    </row>
    <row r="7" spans="1:7" x14ac:dyDescent="0.2">
      <c r="A7" s="9">
        <v>4</v>
      </c>
      <c r="B7" s="10" t="s">
        <v>109</v>
      </c>
      <c r="C7" s="11">
        <v>16</v>
      </c>
      <c r="D7" s="12">
        <v>1286</v>
      </c>
      <c r="E7" s="13">
        <v>0.69592562209461306</v>
      </c>
      <c r="F7" s="12">
        <v>347.29499999999996</v>
      </c>
      <c r="G7" s="14" t="s">
        <v>107</v>
      </c>
    </row>
    <row r="8" spans="1:7" x14ac:dyDescent="0.2">
      <c r="A8" s="9">
        <v>5</v>
      </c>
      <c r="B8" s="10" t="s">
        <v>135</v>
      </c>
      <c r="C8" s="11">
        <v>16</v>
      </c>
      <c r="D8" s="12">
        <v>1284</v>
      </c>
      <c r="E8" s="13">
        <v>0.69537872573147386</v>
      </c>
      <c r="F8" s="12">
        <v>266.89400000000001</v>
      </c>
      <c r="G8" s="14" t="s">
        <v>107</v>
      </c>
    </row>
    <row r="9" spans="1:7" x14ac:dyDescent="0.2">
      <c r="A9" s="9">
        <v>6</v>
      </c>
      <c r="B9" s="10" t="s">
        <v>8</v>
      </c>
      <c r="C9" s="11">
        <v>16</v>
      </c>
      <c r="D9" s="12">
        <v>1272</v>
      </c>
      <c r="E9" s="13">
        <v>0.69209734755263874</v>
      </c>
      <c r="F9" s="12">
        <v>152.37700000000001</v>
      </c>
      <c r="G9" s="14" t="s">
        <v>9</v>
      </c>
    </row>
    <row r="10" spans="1:7" x14ac:dyDescent="0.2">
      <c r="A10" s="9">
        <v>7</v>
      </c>
      <c r="B10" s="10" t="s">
        <v>75</v>
      </c>
      <c r="C10" s="11">
        <v>16</v>
      </c>
      <c r="D10" s="12">
        <v>2029.0208333333333</v>
      </c>
      <c r="E10" s="13">
        <v>0.68908236371471654</v>
      </c>
      <c r="F10" s="12">
        <v>129.76199999999997</v>
      </c>
      <c r="G10" s="14" t="s">
        <v>65</v>
      </c>
    </row>
    <row r="11" spans="1:7" x14ac:dyDescent="0.2">
      <c r="A11" s="9">
        <v>8</v>
      </c>
      <c r="B11" s="10" t="s">
        <v>184</v>
      </c>
      <c r="C11" s="11">
        <v>16</v>
      </c>
      <c r="D11" s="12">
        <v>1174.5</v>
      </c>
      <c r="E11" s="13">
        <v>0.66543614984960353</v>
      </c>
      <c r="F11" s="12">
        <v>193.29500000000002</v>
      </c>
      <c r="G11" s="14" t="s">
        <v>107</v>
      </c>
    </row>
    <row r="12" spans="1:7" x14ac:dyDescent="0.2">
      <c r="A12" s="9">
        <v>9</v>
      </c>
      <c r="B12" s="10" t="s">
        <v>81</v>
      </c>
      <c r="C12" s="11">
        <v>16</v>
      </c>
      <c r="D12" s="12">
        <v>1926.0972222222222</v>
      </c>
      <c r="E12" s="13">
        <v>0.6558168139050492</v>
      </c>
      <c r="F12" s="12">
        <v>37.769999999999996</v>
      </c>
      <c r="G12" s="14" t="s">
        <v>65</v>
      </c>
    </row>
    <row r="13" spans="1:7" x14ac:dyDescent="0.2">
      <c r="A13" s="9">
        <v>10</v>
      </c>
      <c r="B13" s="10" t="s">
        <v>112</v>
      </c>
      <c r="C13" s="11">
        <v>16</v>
      </c>
      <c r="D13" s="12">
        <v>1084.5</v>
      </c>
      <c r="E13" s="13">
        <v>0.64082581350834011</v>
      </c>
      <c r="F13" s="12">
        <v>506.27199999999993</v>
      </c>
      <c r="G13" s="14" t="s">
        <v>107</v>
      </c>
    </row>
    <row r="14" spans="1:7" x14ac:dyDescent="0.2">
      <c r="A14" s="9">
        <v>11</v>
      </c>
      <c r="B14" s="10" t="s">
        <v>24</v>
      </c>
      <c r="C14" s="11">
        <v>16</v>
      </c>
      <c r="D14" s="12">
        <v>1043</v>
      </c>
      <c r="E14" s="13">
        <v>0.62947771397320207</v>
      </c>
      <c r="F14" s="12">
        <v>149.71600000000001</v>
      </c>
      <c r="G14" s="14" t="s">
        <v>9</v>
      </c>
    </row>
    <row r="15" spans="1:7" x14ac:dyDescent="0.2">
      <c r="A15" s="9">
        <v>12</v>
      </c>
      <c r="B15" s="10" t="s">
        <v>175</v>
      </c>
      <c r="C15" s="11">
        <v>16</v>
      </c>
      <c r="D15" s="12">
        <v>977</v>
      </c>
      <c r="E15" s="13">
        <v>0.61143013398960899</v>
      </c>
      <c r="F15" s="12">
        <v>160.95199999999997</v>
      </c>
      <c r="G15" s="14" t="s">
        <v>9</v>
      </c>
    </row>
    <row r="16" spans="1:7" x14ac:dyDescent="0.2">
      <c r="A16" s="9">
        <v>13</v>
      </c>
      <c r="B16" s="10" t="s">
        <v>12</v>
      </c>
      <c r="C16" s="11">
        <v>16</v>
      </c>
      <c r="D16" s="12">
        <v>976.5</v>
      </c>
      <c r="E16" s="13">
        <v>0.61129340989882419</v>
      </c>
      <c r="F16" s="12">
        <v>130.517</v>
      </c>
      <c r="G16" s="14" t="s">
        <v>9</v>
      </c>
    </row>
    <row r="17" spans="1:7" x14ac:dyDescent="0.2">
      <c r="A17" s="9">
        <v>14</v>
      </c>
      <c r="B17" s="10" t="s">
        <v>187</v>
      </c>
      <c r="C17" s="11">
        <v>16</v>
      </c>
      <c r="D17" s="12">
        <v>964</v>
      </c>
      <c r="E17" s="13">
        <v>0.60787530762920428</v>
      </c>
      <c r="F17" s="12">
        <v>535.90099999999995</v>
      </c>
      <c r="G17" s="14" t="s">
        <v>107</v>
      </c>
    </row>
    <row r="18" spans="1:7" x14ac:dyDescent="0.2">
      <c r="A18" s="9">
        <v>15</v>
      </c>
      <c r="B18" s="10" t="s">
        <v>67</v>
      </c>
      <c r="C18" s="11">
        <v>16</v>
      </c>
      <c r="D18" s="12">
        <v>1774.4479166666667</v>
      </c>
      <c r="E18" s="13">
        <v>0.60680281728075847</v>
      </c>
      <c r="F18" s="12">
        <v>85.048000000000002</v>
      </c>
      <c r="G18" s="14" t="s">
        <v>65</v>
      </c>
    </row>
    <row r="19" spans="1:7" x14ac:dyDescent="0.2">
      <c r="A19" s="9">
        <v>16</v>
      </c>
      <c r="B19" s="10" t="s">
        <v>116</v>
      </c>
      <c r="C19" s="11">
        <v>16</v>
      </c>
      <c r="D19" s="12">
        <v>946.5</v>
      </c>
      <c r="E19" s="13">
        <v>0.60308996445173635</v>
      </c>
      <c r="F19" s="12">
        <v>431.755</v>
      </c>
      <c r="G19" s="14" t="s">
        <v>107</v>
      </c>
    </row>
    <row r="20" spans="1:7" x14ac:dyDescent="0.2">
      <c r="A20" s="9">
        <v>17</v>
      </c>
      <c r="B20" s="10" t="s">
        <v>13</v>
      </c>
      <c r="C20" s="11">
        <v>16</v>
      </c>
      <c r="D20" s="12">
        <v>903</v>
      </c>
      <c r="E20" s="13">
        <v>0.5911949685534591</v>
      </c>
      <c r="F20" s="12">
        <v>215.32300000000001</v>
      </c>
      <c r="G20" s="14" t="s">
        <v>9</v>
      </c>
    </row>
    <row r="21" spans="1:7" x14ac:dyDescent="0.2">
      <c r="A21" s="9">
        <v>18</v>
      </c>
      <c r="B21" s="10" t="s">
        <v>110</v>
      </c>
      <c r="C21" s="11">
        <v>16</v>
      </c>
      <c r="D21" s="12">
        <v>874.5</v>
      </c>
      <c r="E21" s="13">
        <v>0.58340169537872577</v>
      </c>
      <c r="F21" s="12">
        <v>225.41500000000002</v>
      </c>
      <c r="G21" s="14" t="s">
        <v>107</v>
      </c>
    </row>
    <row r="22" spans="1:7" x14ac:dyDescent="0.2">
      <c r="A22" s="9">
        <v>19</v>
      </c>
      <c r="B22" s="10" t="s">
        <v>91</v>
      </c>
      <c r="C22" s="11">
        <v>16</v>
      </c>
      <c r="D22" s="12">
        <v>1695.1666666666667</v>
      </c>
      <c r="E22" s="13">
        <v>0.5811786252962724</v>
      </c>
      <c r="F22" s="12">
        <v>71.171999999999983</v>
      </c>
      <c r="G22" s="14" t="s">
        <v>65</v>
      </c>
    </row>
    <row r="23" spans="1:7" x14ac:dyDescent="0.2">
      <c r="A23" s="9">
        <v>20</v>
      </c>
      <c r="B23" s="10" t="s">
        <v>121</v>
      </c>
      <c r="C23" s="11">
        <v>16</v>
      </c>
      <c r="D23" s="12">
        <v>849.5</v>
      </c>
      <c r="E23" s="13">
        <v>0.57656549083948594</v>
      </c>
      <c r="F23" s="12">
        <v>105.976</v>
      </c>
      <c r="G23" s="14" t="s">
        <v>107</v>
      </c>
    </row>
    <row r="24" spans="1:7" x14ac:dyDescent="0.2">
      <c r="A24" s="9">
        <v>21</v>
      </c>
      <c r="B24" s="10" t="s">
        <v>14</v>
      </c>
      <c r="C24" s="11">
        <v>16</v>
      </c>
      <c r="D24" s="12">
        <v>834</v>
      </c>
      <c r="E24" s="13">
        <v>0.57232704402515722</v>
      </c>
      <c r="F24" s="12">
        <v>224.761</v>
      </c>
      <c r="G24" s="14" t="s">
        <v>9</v>
      </c>
    </row>
    <row r="25" spans="1:7" x14ac:dyDescent="0.2">
      <c r="A25" s="9">
        <v>22</v>
      </c>
      <c r="B25" s="10" t="s">
        <v>68</v>
      </c>
      <c r="C25" s="11">
        <v>16</v>
      </c>
      <c r="D25" s="12">
        <v>1664.6163194444446</v>
      </c>
      <c r="E25" s="13">
        <v>0.57130456349206349</v>
      </c>
      <c r="F25" s="12">
        <v>44.166000000000004</v>
      </c>
      <c r="G25" s="14" t="s">
        <v>65</v>
      </c>
    </row>
    <row r="26" spans="1:7" x14ac:dyDescent="0.2">
      <c r="A26" s="9">
        <v>23</v>
      </c>
      <c r="B26" s="10" t="s">
        <v>104</v>
      </c>
      <c r="C26" s="11">
        <v>16</v>
      </c>
      <c r="D26" s="12">
        <v>1655.0364583333335</v>
      </c>
      <c r="E26" s="13">
        <v>0.5682082929325577</v>
      </c>
      <c r="F26" s="12">
        <v>112.566</v>
      </c>
      <c r="G26" s="14" t="s">
        <v>65</v>
      </c>
    </row>
    <row r="27" spans="1:7" x14ac:dyDescent="0.2">
      <c r="A27" s="9">
        <v>24</v>
      </c>
      <c r="B27" s="10" t="s">
        <v>56</v>
      </c>
      <c r="C27" s="11">
        <v>16</v>
      </c>
      <c r="D27" s="12">
        <v>813</v>
      </c>
      <c r="E27" s="13">
        <v>0.56658463221219579</v>
      </c>
      <c r="F27" s="12">
        <v>73.529000000000011</v>
      </c>
      <c r="G27" s="14" t="s">
        <v>9</v>
      </c>
    </row>
    <row r="28" spans="1:7" x14ac:dyDescent="0.2">
      <c r="A28" s="9">
        <v>25</v>
      </c>
      <c r="B28" s="10" t="s">
        <v>16</v>
      </c>
      <c r="C28" s="11">
        <v>16</v>
      </c>
      <c r="D28" s="12">
        <v>810</v>
      </c>
      <c r="E28" s="13">
        <v>0.56576428766748699</v>
      </c>
      <c r="F28" s="12">
        <v>170.49099999999999</v>
      </c>
      <c r="G28" s="14" t="s">
        <v>9</v>
      </c>
    </row>
    <row r="29" spans="1:7" x14ac:dyDescent="0.2">
      <c r="A29" s="9">
        <v>26</v>
      </c>
      <c r="B29" s="10" t="s">
        <v>95</v>
      </c>
      <c r="C29" s="11">
        <v>16</v>
      </c>
      <c r="D29" s="12">
        <v>1616.65625</v>
      </c>
      <c r="E29" s="13">
        <v>0.5558035714285714</v>
      </c>
      <c r="F29" s="12">
        <v>107.941</v>
      </c>
      <c r="G29" s="14" t="s">
        <v>65</v>
      </c>
    </row>
    <row r="30" spans="1:7" x14ac:dyDescent="0.2">
      <c r="A30" s="9">
        <v>27</v>
      </c>
      <c r="B30" s="10" t="s">
        <v>126</v>
      </c>
      <c r="C30" s="11">
        <v>16</v>
      </c>
      <c r="D30" s="12">
        <v>769</v>
      </c>
      <c r="E30" s="13">
        <v>0.55455291222313374</v>
      </c>
      <c r="F30" s="12">
        <v>331.197</v>
      </c>
      <c r="G30" s="14" t="s">
        <v>107</v>
      </c>
    </row>
    <row r="31" spans="1:7" x14ac:dyDescent="0.2">
      <c r="A31" s="9">
        <v>28</v>
      </c>
      <c r="B31" s="10" t="s">
        <v>130</v>
      </c>
      <c r="C31" s="11">
        <v>16</v>
      </c>
      <c r="D31" s="12">
        <v>764</v>
      </c>
      <c r="E31" s="13">
        <v>0.55318567131528573</v>
      </c>
      <c r="F31" s="12">
        <v>155.60000000000002</v>
      </c>
      <c r="G31" s="14" t="s">
        <v>107</v>
      </c>
    </row>
    <row r="32" spans="1:7" x14ac:dyDescent="0.2">
      <c r="A32" s="9">
        <v>29</v>
      </c>
      <c r="B32" s="10" t="s">
        <v>72</v>
      </c>
      <c r="C32" s="11">
        <v>16</v>
      </c>
      <c r="D32" s="12">
        <v>1605.7934027777778</v>
      </c>
      <c r="E32" s="13">
        <v>0.55229263179630828</v>
      </c>
      <c r="F32" s="12">
        <v>132.97499999999999</v>
      </c>
      <c r="G32" s="14" t="s">
        <v>65</v>
      </c>
    </row>
    <row r="33" spans="1:7" x14ac:dyDescent="0.2">
      <c r="A33" s="9">
        <v>30</v>
      </c>
      <c r="B33" s="10" t="s">
        <v>100</v>
      </c>
      <c r="C33" s="11">
        <v>16</v>
      </c>
      <c r="D33" s="12">
        <v>1594.1927083333335</v>
      </c>
      <c r="E33" s="13">
        <v>0.54854321536306838</v>
      </c>
      <c r="F33" s="12">
        <v>115.53699999999999</v>
      </c>
      <c r="G33" s="14" t="s">
        <v>65</v>
      </c>
    </row>
    <row r="34" spans="1:7" x14ac:dyDescent="0.2">
      <c r="A34" s="9">
        <v>31</v>
      </c>
      <c r="B34" s="10" t="s">
        <v>114</v>
      </c>
      <c r="C34" s="11">
        <v>16</v>
      </c>
      <c r="D34" s="12">
        <v>724</v>
      </c>
      <c r="E34" s="13">
        <v>0.54224774405250209</v>
      </c>
      <c r="F34" s="12">
        <v>141.90000000000003</v>
      </c>
      <c r="G34" s="14" t="s">
        <v>107</v>
      </c>
    </row>
    <row r="35" spans="1:7" x14ac:dyDescent="0.2">
      <c r="A35" s="9">
        <v>32</v>
      </c>
      <c r="B35" s="10" t="s">
        <v>18</v>
      </c>
      <c r="C35" s="11">
        <v>16</v>
      </c>
      <c r="D35" s="12">
        <v>720</v>
      </c>
      <c r="E35" s="13">
        <v>0.54115395132622368</v>
      </c>
      <c r="F35" s="12">
        <v>153.89100000000002</v>
      </c>
      <c r="G35" s="14" t="s">
        <v>9</v>
      </c>
    </row>
    <row r="36" spans="1:7" x14ac:dyDescent="0.2">
      <c r="A36" s="9">
        <v>33</v>
      </c>
      <c r="B36" s="10" t="s">
        <v>74</v>
      </c>
      <c r="C36" s="11">
        <v>16</v>
      </c>
      <c r="D36" s="12">
        <v>1559.4791666666663</v>
      </c>
      <c r="E36" s="13">
        <v>0.5373235832794655</v>
      </c>
      <c r="F36" s="12">
        <v>73.873000000000005</v>
      </c>
      <c r="G36" s="14" t="s">
        <v>65</v>
      </c>
    </row>
    <row r="37" spans="1:7" x14ac:dyDescent="0.2">
      <c r="A37" s="9">
        <v>34</v>
      </c>
      <c r="B37" s="10" t="s">
        <v>171</v>
      </c>
      <c r="C37" s="11">
        <v>16</v>
      </c>
      <c r="D37" s="12">
        <v>700</v>
      </c>
      <c r="E37" s="13">
        <v>0.53568498769483186</v>
      </c>
      <c r="F37" s="12">
        <v>86.777000000000001</v>
      </c>
      <c r="G37" s="14" t="s">
        <v>9</v>
      </c>
    </row>
    <row r="38" spans="1:7" x14ac:dyDescent="0.2">
      <c r="A38" s="9">
        <v>35</v>
      </c>
      <c r="B38" s="10" t="s">
        <v>71</v>
      </c>
      <c r="C38" s="11">
        <v>16</v>
      </c>
      <c r="D38" s="12">
        <v>1543.0572916666665</v>
      </c>
      <c r="E38" s="13">
        <v>0.53201593137254899</v>
      </c>
      <c r="F38" s="12">
        <v>148.02300000000002</v>
      </c>
      <c r="G38" s="14" t="s">
        <v>65</v>
      </c>
    </row>
    <row r="39" spans="1:7" x14ac:dyDescent="0.2">
      <c r="A39" s="9">
        <v>36</v>
      </c>
      <c r="B39" s="10" t="s">
        <v>19</v>
      </c>
      <c r="C39" s="11">
        <v>16</v>
      </c>
      <c r="D39" s="12">
        <v>679</v>
      </c>
      <c r="E39" s="13">
        <v>0.52994257588187044</v>
      </c>
      <c r="F39" s="12">
        <v>259.70500000000004</v>
      </c>
      <c r="G39" s="14" t="s">
        <v>9</v>
      </c>
    </row>
    <row r="40" spans="1:7" x14ac:dyDescent="0.2">
      <c r="A40" s="9">
        <v>37</v>
      </c>
      <c r="B40" s="10" t="s">
        <v>98</v>
      </c>
      <c r="C40" s="11">
        <v>16</v>
      </c>
      <c r="D40" s="12">
        <v>1519.0666666666668</v>
      </c>
      <c r="E40" s="13">
        <v>0.52426201249730664</v>
      </c>
      <c r="F40" s="12">
        <v>452.39600000000002</v>
      </c>
      <c r="G40" s="14" t="s">
        <v>65</v>
      </c>
    </row>
    <row r="41" spans="1:7" x14ac:dyDescent="0.2">
      <c r="A41" s="9">
        <v>38</v>
      </c>
      <c r="B41" s="10" t="s">
        <v>115</v>
      </c>
      <c r="C41" s="11">
        <v>16</v>
      </c>
      <c r="D41" s="12">
        <v>640</v>
      </c>
      <c r="E41" s="13">
        <v>0.51927809680065629</v>
      </c>
      <c r="F41" s="12">
        <v>324.90000000000003</v>
      </c>
      <c r="G41" s="14" t="s">
        <v>107</v>
      </c>
    </row>
    <row r="42" spans="1:7" x14ac:dyDescent="0.2">
      <c r="A42" s="9">
        <v>39</v>
      </c>
      <c r="B42" s="10" t="s">
        <v>73</v>
      </c>
      <c r="C42" s="11">
        <v>16</v>
      </c>
      <c r="D42" s="12">
        <v>1499.7333333333333</v>
      </c>
      <c r="E42" s="13">
        <v>0.51801335918982983</v>
      </c>
      <c r="F42" s="12">
        <v>208.27499999999998</v>
      </c>
      <c r="G42" s="14" t="s">
        <v>65</v>
      </c>
    </row>
    <row r="43" spans="1:7" x14ac:dyDescent="0.2">
      <c r="A43" s="9">
        <v>40</v>
      </c>
      <c r="B43" s="10" t="s">
        <v>173</v>
      </c>
      <c r="C43" s="11">
        <v>16</v>
      </c>
      <c r="D43" s="12">
        <v>633</v>
      </c>
      <c r="E43" s="13">
        <v>0.51736395952966918</v>
      </c>
      <c r="F43" s="12">
        <v>221.28100000000001</v>
      </c>
      <c r="G43" s="14" t="s">
        <v>9</v>
      </c>
    </row>
    <row r="44" spans="1:7" x14ac:dyDescent="0.2">
      <c r="A44" s="9">
        <v>41</v>
      </c>
      <c r="B44" s="10" t="s">
        <v>117</v>
      </c>
      <c r="C44" s="11">
        <v>16</v>
      </c>
      <c r="D44" s="12">
        <v>626.5</v>
      </c>
      <c r="E44" s="13">
        <v>0.51558654634946677</v>
      </c>
      <c r="F44" s="12">
        <v>323.04999999999995</v>
      </c>
      <c r="G44" s="14" t="s">
        <v>107</v>
      </c>
    </row>
    <row r="45" spans="1:7" x14ac:dyDescent="0.2">
      <c r="A45" s="9">
        <v>42</v>
      </c>
      <c r="B45" s="10" t="s">
        <v>182</v>
      </c>
      <c r="C45" s="11">
        <v>16</v>
      </c>
      <c r="D45" s="12">
        <v>605.5</v>
      </c>
      <c r="E45" s="13">
        <v>0.50984413453650534</v>
      </c>
      <c r="F45" s="12">
        <v>112.40300000000001</v>
      </c>
      <c r="G45" s="14" t="s">
        <v>107</v>
      </c>
    </row>
    <row r="46" spans="1:7" x14ac:dyDescent="0.2">
      <c r="A46" s="9">
        <v>43</v>
      </c>
      <c r="B46" s="10" t="s">
        <v>111</v>
      </c>
      <c r="C46" s="11">
        <v>16</v>
      </c>
      <c r="D46" s="12">
        <v>593</v>
      </c>
      <c r="E46" s="13">
        <v>0.50642603226688543</v>
      </c>
      <c r="F46" s="12">
        <v>412.8769999999999</v>
      </c>
      <c r="G46" s="14" t="s">
        <v>107</v>
      </c>
    </row>
    <row r="47" spans="1:7" x14ac:dyDescent="0.2">
      <c r="A47" s="9">
        <v>44</v>
      </c>
      <c r="B47" s="10" t="s">
        <v>127</v>
      </c>
      <c r="C47" s="11">
        <v>16</v>
      </c>
      <c r="D47" s="12">
        <v>588.75</v>
      </c>
      <c r="E47" s="13">
        <v>0.50526387749521462</v>
      </c>
      <c r="F47" s="12">
        <v>356.49900000000002</v>
      </c>
      <c r="G47" s="14" t="s">
        <v>107</v>
      </c>
    </row>
    <row r="48" spans="1:7" x14ac:dyDescent="0.2">
      <c r="A48" s="9">
        <v>45</v>
      </c>
      <c r="B48" s="10" t="s">
        <v>76</v>
      </c>
      <c r="C48" s="11">
        <v>16</v>
      </c>
      <c r="D48" s="12">
        <v>1456.8333333333333</v>
      </c>
      <c r="E48" s="13">
        <v>0.50414781297134237</v>
      </c>
      <c r="F48" s="12">
        <v>72.597999999999999</v>
      </c>
      <c r="G48" s="14" t="s">
        <v>65</v>
      </c>
    </row>
    <row r="49" spans="1:7" x14ac:dyDescent="0.2">
      <c r="A49" s="9">
        <v>46</v>
      </c>
      <c r="B49" s="10" t="s">
        <v>85</v>
      </c>
      <c r="C49" s="11">
        <v>16</v>
      </c>
      <c r="D49" s="12">
        <v>1447.95</v>
      </c>
      <c r="E49" s="13">
        <v>0.50127666451195863</v>
      </c>
      <c r="F49" s="12">
        <v>215.21300000000002</v>
      </c>
      <c r="G49" s="14" t="s">
        <v>65</v>
      </c>
    </row>
    <row r="50" spans="1:7" x14ac:dyDescent="0.2">
      <c r="A50" s="9">
        <v>47</v>
      </c>
      <c r="B50" s="10" t="s">
        <v>99</v>
      </c>
      <c r="C50" s="11">
        <v>16</v>
      </c>
      <c r="D50" s="12">
        <v>1443.7874999999997</v>
      </c>
      <c r="E50" s="13">
        <v>0.49993131868131857</v>
      </c>
      <c r="F50" s="12">
        <v>163.24199999999999</v>
      </c>
      <c r="G50" s="14" t="s">
        <v>65</v>
      </c>
    </row>
    <row r="51" spans="1:7" x14ac:dyDescent="0.2">
      <c r="A51" s="9">
        <v>48</v>
      </c>
      <c r="B51" s="10" t="s">
        <v>11</v>
      </c>
      <c r="C51" s="11">
        <v>16</v>
      </c>
      <c r="D51" s="12">
        <v>562</v>
      </c>
      <c r="E51" s="13">
        <v>0.49794913863822804</v>
      </c>
      <c r="F51" s="12">
        <v>342.089</v>
      </c>
      <c r="G51" s="14" t="s">
        <v>9</v>
      </c>
    </row>
    <row r="52" spans="1:7" x14ac:dyDescent="0.2">
      <c r="A52" s="9">
        <v>49</v>
      </c>
      <c r="B52" s="10" t="s">
        <v>157</v>
      </c>
      <c r="C52" s="11">
        <v>16</v>
      </c>
      <c r="D52" s="12">
        <v>543</v>
      </c>
      <c r="E52" s="13">
        <v>0.49275362318840582</v>
      </c>
      <c r="F52" s="12">
        <v>293.60400000000004</v>
      </c>
      <c r="G52" s="14" t="s">
        <v>107</v>
      </c>
    </row>
    <row r="53" spans="1:7" x14ac:dyDescent="0.2">
      <c r="A53" s="9">
        <v>50</v>
      </c>
      <c r="B53" s="10" t="s">
        <v>97</v>
      </c>
      <c r="C53" s="11">
        <v>16</v>
      </c>
      <c r="D53" s="12">
        <v>1420.2458333333332</v>
      </c>
      <c r="E53" s="13">
        <v>0.49232250592544707</v>
      </c>
      <c r="F53" s="12">
        <v>99.978000000000009</v>
      </c>
      <c r="G53" s="14" t="s">
        <v>65</v>
      </c>
    </row>
    <row r="54" spans="1:7" x14ac:dyDescent="0.2">
      <c r="A54" s="9">
        <v>51</v>
      </c>
      <c r="B54" s="10" t="s">
        <v>15</v>
      </c>
      <c r="C54" s="11">
        <v>16</v>
      </c>
      <c r="D54" s="12">
        <v>490</v>
      </c>
      <c r="E54" s="13">
        <v>0.47826086956521741</v>
      </c>
      <c r="F54" s="12">
        <v>167.262</v>
      </c>
      <c r="G54" s="14" t="s">
        <v>9</v>
      </c>
    </row>
    <row r="55" spans="1:7" x14ac:dyDescent="0.2">
      <c r="A55" s="9">
        <v>52</v>
      </c>
      <c r="B55" s="10" t="s">
        <v>122</v>
      </c>
      <c r="C55" s="11">
        <v>16</v>
      </c>
      <c r="D55" s="12">
        <v>488</v>
      </c>
      <c r="E55" s="13">
        <v>0.4777139732020782</v>
      </c>
      <c r="F55" s="12">
        <v>283.35199999999998</v>
      </c>
      <c r="G55" s="14" t="s">
        <v>107</v>
      </c>
    </row>
    <row r="56" spans="1:7" x14ac:dyDescent="0.2">
      <c r="A56" s="9">
        <v>53</v>
      </c>
      <c r="B56" s="10" t="s">
        <v>160</v>
      </c>
      <c r="C56" s="11">
        <v>16</v>
      </c>
      <c r="D56" s="12">
        <v>487</v>
      </c>
      <c r="E56" s="13">
        <v>0.4774405250205086</v>
      </c>
      <c r="F56" s="12">
        <v>211.38499999999999</v>
      </c>
      <c r="G56" s="14" t="s">
        <v>107</v>
      </c>
    </row>
    <row r="57" spans="1:7" x14ac:dyDescent="0.2">
      <c r="A57" s="9">
        <v>54</v>
      </c>
      <c r="B57" s="10" t="s">
        <v>96</v>
      </c>
      <c r="C57" s="11">
        <v>16</v>
      </c>
      <c r="D57" s="12">
        <v>1366.4041666666667</v>
      </c>
      <c r="E57" s="13">
        <v>0.47492054514113341</v>
      </c>
      <c r="F57" s="12">
        <v>157.755</v>
      </c>
      <c r="G57" s="14" t="s">
        <v>65</v>
      </c>
    </row>
    <row r="58" spans="1:7" x14ac:dyDescent="0.2">
      <c r="A58" s="9">
        <v>55</v>
      </c>
      <c r="B58" s="10" t="s">
        <v>22</v>
      </c>
      <c r="C58" s="11">
        <v>6</v>
      </c>
      <c r="D58" s="12">
        <v>470</v>
      </c>
      <c r="E58" s="13">
        <v>0.47279190593382553</v>
      </c>
      <c r="F58" s="12">
        <v>60.288000000000004</v>
      </c>
      <c r="G58" s="14" t="s">
        <v>9</v>
      </c>
    </row>
    <row r="59" spans="1:7" x14ac:dyDescent="0.2">
      <c r="A59" s="9">
        <v>56</v>
      </c>
      <c r="B59" s="10" t="s">
        <v>83</v>
      </c>
      <c r="C59" s="11">
        <v>16</v>
      </c>
      <c r="D59" s="12">
        <v>1356.6763888888888</v>
      </c>
      <c r="E59" s="13">
        <v>0.47177646699705522</v>
      </c>
      <c r="F59" s="12">
        <v>227.65700000000004</v>
      </c>
      <c r="G59" s="14" t="s">
        <v>65</v>
      </c>
    </row>
    <row r="60" spans="1:7" x14ac:dyDescent="0.2">
      <c r="A60" s="9">
        <v>57</v>
      </c>
      <c r="B60" s="10" t="s">
        <v>17</v>
      </c>
      <c r="C60" s="11">
        <v>8</v>
      </c>
      <c r="D60" s="12">
        <v>459</v>
      </c>
      <c r="E60" s="13">
        <v>0.46978397593656002</v>
      </c>
      <c r="F60" s="12">
        <v>56.050000000000004</v>
      </c>
      <c r="G60" s="14" t="s">
        <v>9</v>
      </c>
    </row>
    <row r="61" spans="1:7" x14ac:dyDescent="0.2">
      <c r="A61" s="9">
        <v>58</v>
      </c>
      <c r="B61" s="10" t="s">
        <v>32</v>
      </c>
      <c r="C61" s="11">
        <v>16</v>
      </c>
      <c r="D61" s="12">
        <v>439</v>
      </c>
      <c r="E61" s="13">
        <v>0.4643150123051682</v>
      </c>
      <c r="F61" s="12">
        <v>154.429</v>
      </c>
      <c r="G61" s="14" t="s">
        <v>9</v>
      </c>
    </row>
    <row r="62" spans="1:7" x14ac:dyDescent="0.2">
      <c r="A62" s="9">
        <v>59</v>
      </c>
      <c r="B62" s="10" t="s">
        <v>180</v>
      </c>
      <c r="C62" s="11">
        <v>16</v>
      </c>
      <c r="D62" s="12">
        <v>414.5</v>
      </c>
      <c r="E62" s="13">
        <v>0.45761553185671316</v>
      </c>
      <c r="F62" s="12">
        <v>276.10399999999998</v>
      </c>
      <c r="G62" s="14" t="s">
        <v>107</v>
      </c>
    </row>
    <row r="63" spans="1:7" x14ac:dyDescent="0.2">
      <c r="A63" s="44">
        <v>60</v>
      </c>
      <c r="B63" s="43" t="s">
        <v>78</v>
      </c>
      <c r="C63" s="45">
        <v>16</v>
      </c>
      <c r="D63" s="46">
        <v>1312.75</v>
      </c>
      <c r="E63" s="48">
        <v>0.45757918552036198</v>
      </c>
      <c r="F63" s="46">
        <v>445.952</v>
      </c>
      <c r="G63" s="47" t="s">
        <v>65</v>
      </c>
    </row>
    <row r="64" spans="1:7" x14ac:dyDescent="0.2">
      <c r="A64" s="9">
        <v>61</v>
      </c>
      <c r="B64" s="10" t="s">
        <v>105</v>
      </c>
      <c r="C64" s="11">
        <v>16</v>
      </c>
      <c r="D64" s="12">
        <v>1311.8999999999999</v>
      </c>
      <c r="E64" s="13">
        <v>0.45730446024563665</v>
      </c>
      <c r="F64" s="12">
        <v>216.99499999999998</v>
      </c>
      <c r="G64" s="14" t="s">
        <v>65</v>
      </c>
    </row>
    <row r="65" spans="1:7" x14ac:dyDescent="0.2">
      <c r="A65" s="53">
        <v>62</v>
      </c>
      <c r="B65" s="52" t="s">
        <v>31</v>
      </c>
      <c r="C65" s="54">
        <v>5</v>
      </c>
      <c r="D65" s="56">
        <v>406</v>
      </c>
      <c r="E65" s="61">
        <v>0.4552912223133716</v>
      </c>
      <c r="F65" s="56">
        <v>44.74</v>
      </c>
      <c r="G65" s="59" t="s">
        <v>9</v>
      </c>
    </row>
    <row r="66" spans="1:7" x14ac:dyDescent="0.2">
      <c r="A66" s="9">
        <v>63</v>
      </c>
      <c r="B66" s="10" t="s">
        <v>93</v>
      </c>
      <c r="C66" s="11">
        <v>16</v>
      </c>
      <c r="D66" s="12">
        <v>1302.9000000000001</v>
      </c>
      <c r="E66" s="13">
        <v>0.45439560439560445</v>
      </c>
      <c r="F66" s="12">
        <v>68.333999999999989</v>
      </c>
      <c r="G66" s="14" t="s">
        <v>65</v>
      </c>
    </row>
    <row r="67" spans="1:7" x14ac:dyDescent="0.2">
      <c r="A67" s="9">
        <v>64</v>
      </c>
      <c r="B67" s="10" t="s">
        <v>60</v>
      </c>
      <c r="C67" s="11">
        <v>16</v>
      </c>
      <c r="D67" s="12">
        <v>396</v>
      </c>
      <c r="E67" s="13">
        <v>0.45255674049767569</v>
      </c>
      <c r="F67" s="12">
        <v>157.30099999999999</v>
      </c>
      <c r="G67" s="14" t="s">
        <v>9</v>
      </c>
    </row>
    <row r="68" spans="1:7" x14ac:dyDescent="0.2">
      <c r="A68" s="53">
        <v>65</v>
      </c>
      <c r="B68" s="52" t="s">
        <v>10</v>
      </c>
      <c r="C68" s="54">
        <v>16</v>
      </c>
      <c r="D68" s="56">
        <v>386.75</v>
      </c>
      <c r="E68" s="61">
        <v>0.45002734481815698</v>
      </c>
      <c r="F68" s="56">
        <v>210.64400000000001</v>
      </c>
      <c r="G68" s="59" t="s">
        <v>9</v>
      </c>
    </row>
    <row r="69" spans="1:7" x14ac:dyDescent="0.2">
      <c r="A69" s="9">
        <v>66</v>
      </c>
      <c r="B69" s="10" t="s">
        <v>179</v>
      </c>
      <c r="C69" s="11">
        <v>16</v>
      </c>
      <c r="D69" s="12">
        <v>1283.6958333333332</v>
      </c>
      <c r="E69" s="13">
        <v>0.44818869855634558</v>
      </c>
      <c r="F69" s="12">
        <v>88.462000000000018</v>
      </c>
      <c r="G69" s="14" t="s">
        <v>65</v>
      </c>
    </row>
    <row r="70" spans="1:7" x14ac:dyDescent="0.2">
      <c r="A70" s="9">
        <v>67</v>
      </c>
      <c r="B70" s="10" t="s">
        <v>20</v>
      </c>
      <c r="C70" s="11">
        <v>9</v>
      </c>
      <c r="D70" s="12">
        <v>355</v>
      </c>
      <c r="E70" s="13">
        <v>0.44134536505332239</v>
      </c>
      <c r="F70" s="12">
        <v>78.444000000000017</v>
      </c>
      <c r="G70" s="14" t="s">
        <v>9</v>
      </c>
    </row>
    <row r="71" spans="1:7" x14ac:dyDescent="0.2">
      <c r="A71" s="9">
        <v>68</v>
      </c>
      <c r="B71" s="10" t="s">
        <v>30</v>
      </c>
      <c r="C71" s="11">
        <v>4</v>
      </c>
      <c r="D71" s="12">
        <v>342</v>
      </c>
      <c r="E71" s="13">
        <v>0.43779053869291767</v>
      </c>
      <c r="F71" s="12">
        <v>20.673999999999999</v>
      </c>
      <c r="G71" s="14" t="s">
        <v>9</v>
      </c>
    </row>
    <row r="72" spans="1:7" x14ac:dyDescent="0.2">
      <c r="A72" s="9">
        <v>69</v>
      </c>
      <c r="B72" s="10" t="s">
        <v>88</v>
      </c>
      <c r="C72" s="11">
        <v>16</v>
      </c>
      <c r="D72" s="12">
        <v>1246.0138888888889</v>
      </c>
      <c r="E72" s="13">
        <v>0.43600966027436616</v>
      </c>
      <c r="F72" s="12">
        <v>192.79999999999998</v>
      </c>
      <c r="G72" s="14" t="s">
        <v>65</v>
      </c>
    </row>
    <row r="73" spans="1:7" x14ac:dyDescent="0.2">
      <c r="A73" s="9">
        <v>70</v>
      </c>
      <c r="B73" s="10" t="s">
        <v>92</v>
      </c>
      <c r="C73" s="11">
        <v>16</v>
      </c>
      <c r="D73" s="12">
        <v>1245.7541666666666</v>
      </c>
      <c r="E73" s="13">
        <v>0.43592571644042233</v>
      </c>
      <c r="F73" s="12">
        <v>158.80600000000004</v>
      </c>
      <c r="G73" s="14" t="s">
        <v>65</v>
      </c>
    </row>
    <row r="74" spans="1:7" x14ac:dyDescent="0.2">
      <c r="A74" s="9">
        <v>71</v>
      </c>
      <c r="B74" s="10" t="s">
        <v>28</v>
      </c>
      <c r="C74" s="11">
        <v>16</v>
      </c>
      <c r="D74" s="12">
        <v>325.75</v>
      </c>
      <c r="E74" s="13">
        <v>0.43334700574241181</v>
      </c>
      <c r="F74" s="12">
        <v>276.553</v>
      </c>
      <c r="G74" s="14" t="s">
        <v>9</v>
      </c>
    </row>
    <row r="75" spans="1:7" x14ac:dyDescent="0.2">
      <c r="A75" s="9">
        <v>72</v>
      </c>
      <c r="B75" s="10" t="s">
        <v>25</v>
      </c>
      <c r="C75" s="11">
        <v>16</v>
      </c>
      <c r="D75" s="12">
        <v>315.5</v>
      </c>
      <c r="E75" s="13">
        <v>0.43054416188132349</v>
      </c>
      <c r="F75" s="12">
        <v>168.14899999999997</v>
      </c>
      <c r="G75" s="14" t="s">
        <v>9</v>
      </c>
    </row>
    <row r="76" spans="1:7" x14ac:dyDescent="0.2">
      <c r="A76" s="9">
        <v>73</v>
      </c>
      <c r="B76" s="10" t="s">
        <v>33</v>
      </c>
      <c r="C76" s="11">
        <v>16</v>
      </c>
      <c r="D76" s="12">
        <v>310</v>
      </c>
      <c r="E76" s="13">
        <v>0.42904019688269074</v>
      </c>
      <c r="F76" s="12">
        <v>207.71700000000004</v>
      </c>
      <c r="G76" s="14" t="s">
        <v>9</v>
      </c>
    </row>
    <row r="77" spans="1:7" x14ac:dyDescent="0.2">
      <c r="A77" s="9">
        <v>74</v>
      </c>
      <c r="B77" s="10" t="s">
        <v>128</v>
      </c>
      <c r="C77" s="11">
        <v>4</v>
      </c>
      <c r="D77" s="12">
        <v>308</v>
      </c>
      <c r="E77" s="13">
        <v>0.42849330051955153</v>
      </c>
      <c r="F77" s="12">
        <v>29.929000000000002</v>
      </c>
      <c r="G77" s="14" t="s">
        <v>107</v>
      </c>
    </row>
    <row r="78" spans="1:7" x14ac:dyDescent="0.2">
      <c r="A78" s="9">
        <v>75</v>
      </c>
      <c r="B78" s="10" t="s">
        <v>129</v>
      </c>
      <c r="C78" s="11">
        <v>4</v>
      </c>
      <c r="D78" s="12">
        <v>293</v>
      </c>
      <c r="E78" s="13">
        <v>0.42439157779600767</v>
      </c>
      <c r="F78" s="12">
        <v>67.831000000000003</v>
      </c>
      <c r="G78" s="14" t="s">
        <v>107</v>
      </c>
    </row>
    <row r="79" spans="1:7" x14ac:dyDescent="0.2">
      <c r="A79" s="9">
        <v>76</v>
      </c>
      <c r="B79" s="10" t="s">
        <v>124</v>
      </c>
      <c r="C79" s="11">
        <v>5</v>
      </c>
      <c r="D79" s="12">
        <v>291</v>
      </c>
      <c r="E79" s="13">
        <v>0.42384468143286846</v>
      </c>
      <c r="F79" s="12">
        <v>73.829000000000008</v>
      </c>
      <c r="G79" s="14" t="s">
        <v>107</v>
      </c>
    </row>
    <row r="80" spans="1:7" x14ac:dyDescent="0.2">
      <c r="A80" s="9">
        <v>77</v>
      </c>
      <c r="B80" s="10" t="s">
        <v>27</v>
      </c>
      <c r="C80" s="11">
        <v>16</v>
      </c>
      <c r="D80" s="12">
        <v>287</v>
      </c>
      <c r="E80" s="13">
        <v>0.42275088870659011</v>
      </c>
      <c r="F80" s="12">
        <v>224.46799999999999</v>
      </c>
      <c r="G80" s="14" t="s">
        <v>9</v>
      </c>
    </row>
    <row r="81" spans="1:7" x14ac:dyDescent="0.2">
      <c r="A81" s="9">
        <v>78</v>
      </c>
      <c r="B81" s="10" t="s">
        <v>170</v>
      </c>
      <c r="C81" s="11">
        <v>16</v>
      </c>
      <c r="D81" s="12">
        <v>287</v>
      </c>
      <c r="E81" s="13">
        <v>0.42275088870659011</v>
      </c>
      <c r="F81" s="12">
        <v>269.87799999999999</v>
      </c>
      <c r="G81" s="14" t="s">
        <v>9</v>
      </c>
    </row>
    <row r="82" spans="1:7" x14ac:dyDescent="0.2">
      <c r="A82" s="9">
        <v>79</v>
      </c>
      <c r="B82" s="10" t="s">
        <v>101</v>
      </c>
      <c r="C82" s="11">
        <v>16</v>
      </c>
      <c r="D82" s="12">
        <v>1196.5499999999997</v>
      </c>
      <c r="E82" s="13">
        <v>0.42002262443438904</v>
      </c>
      <c r="F82" s="12">
        <v>89.010999999999981</v>
      </c>
      <c r="G82" s="14" t="s">
        <v>65</v>
      </c>
    </row>
    <row r="83" spans="1:7" x14ac:dyDescent="0.2">
      <c r="A83" s="9">
        <v>80</v>
      </c>
      <c r="B83" s="10" t="s">
        <v>36</v>
      </c>
      <c r="C83" s="11">
        <v>5</v>
      </c>
      <c r="D83" s="12">
        <v>262</v>
      </c>
      <c r="E83" s="13">
        <v>0.41591468416735028</v>
      </c>
      <c r="F83" s="12">
        <v>46.777000000000001</v>
      </c>
      <c r="G83" s="14" t="s">
        <v>9</v>
      </c>
    </row>
    <row r="84" spans="1:7" x14ac:dyDescent="0.2">
      <c r="A84" s="9">
        <v>81</v>
      </c>
      <c r="B84" s="10" t="s">
        <v>183</v>
      </c>
      <c r="C84" s="11">
        <v>16</v>
      </c>
      <c r="D84" s="12">
        <v>262</v>
      </c>
      <c r="E84" s="13">
        <v>0.41591468416735028</v>
      </c>
      <c r="F84" s="12">
        <v>228.66200000000001</v>
      </c>
      <c r="G84" s="14" t="s">
        <v>107</v>
      </c>
    </row>
    <row r="85" spans="1:7" x14ac:dyDescent="0.2">
      <c r="A85" s="9">
        <v>82</v>
      </c>
      <c r="B85" s="10" t="s">
        <v>113</v>
      </c>
      <c r="C85" s="11">
        <v>16</v>
      </c>
      <c r="D85" s="12">
        <v>262</v>
      </c>
      <c r="E85" s="13">
        <v>0.41591468416735028</v>
      </c>
      <c r="F85" s="12">
        <v>255.87899999999999</v>
      </c>
      <c r="G85" s="14" t="s">
        <v>107</v>
      </c>
    </row>
    <row r="86" spans="1:7" x14ac:dyDescent="0.2">
      <c r="A86" s="9">
        <v>83</v>
      </c>
      <c r="B86" s="10" t="s">
        <v>150</v>
      </c>
      <c r="C86" s="11">
        <v>16</v>
      </c>
      <c r="D86" s="12">
        <v>258</v>
      </c>
      <c r="E86" s="13">
        <v>0.41482089144107193</v>
      </c>
      <c r="F86" s="12">
        <v>192.66199999999998</v>
      </c>
      <c r="G86" s="14" t="s">
        <v>107</v>
      </c>
    </row>
    <row r="87" spans="1:7" x14ac:dyDescent="0.2">
      <c r="A87" s="9">
        <v>84</v>
      </c>
      <c r="B87" s="10" t="s">
        <v>26</v>
      </c>
      <c r="C87" s="11">
        <v>16</v>
      </c>
      <c r="D87" s="12">
        <v>254.75</v>
      </c>
      <c r="E87" s="13">
        <v>0.41393218485097072</v>
      </c>
      <c r="F87" s="12">
        <v>117.35899999999999</v>
      </c>
      <c r="G87" s="14" t="s">
        <v>9</v>
      </c>
    </row>
    <row r="88" spans="1:7" x14ac:dyDescent="0.2">
      <c r="A88" s="9">
        <v>85</v>
      </c>
      <c r="B88" s="10" t="s">
        <v>37</v>
      </c>
      <c r="C88" s="11">
        <v>4</v>
      </c>
      <c r="D88" s="12">
        <v>253</v>
      </c>
      <c r="E88" s="13">
        <v>0.41345365053322397</v>
      </c>
      <c r="F88" s="12">
        <v>32.706000000000003</v>
      </c>
      <c r="G88" s="14" t="s">
        <v>9</v>
      </c>
    </row>
    <row r="89" spans="1:7" x14ac:dyDescent="0.2">
      <c r="A89" s="9">
        <v>86</v>
      </c>
      <c r="B89" s="10" t="s">
        <v>131</v>
      </c>
      <c r="C89" s="11">
        <v>4</v>
      </c>
      <c r="D89" s="12">
        <v>247</v>
      </c>
      <c r="E89" s="13">
        <v>0.41181296144380641</v>
      </c>
      <c r="F89" s="12">
        <v>45.313000000000002</v>
      </c>
      <c r="G89" s="14" t="s">
        <v>107</v>
      </c>
    </row>
    <row r="90" spans="1:7" x14ac:dyDescent="0.2">
      <c r="A90" s="9">
        <v>87</v>
      </c>
      <c r="B90" s="10" t="s">
        <v>172</v>
      </c>
      <c r="C90" s="11">
        <v>5</v>
      </c>
      <c r="D90" s="12">
        <v>246</v>
      </c>
      <c r="E90" s="13">
        <v>0.41153951326223681</v>
      </c>
      <c r="F90" s="12">
        <v>68.137999999999991</v>
      </c>
      <c r="G90" s="14" t="s">
        <v>9</v>
      </c>
    </row>
    <row r="91" spans="1:7" x14ac:dyDescent="0.2">
      <c r="A91" s="9">
        <v>88</v>
      </c>
      <c r="B91" s="10" t="s">
        <v>189</v>
      </c>
      <c r="C91" s="11">
        <v>10</v>
      </c>
      <c r="D91" s="12">
        <v>245</v>
      </c>
      <c r="E91" s="13">
        <v>0.41126606508066721</v>
      </c>
      <c r="F91" s="12">
        <v>155.726</v>
      </c>
      <c r="G91" s="14" t="s">
        <v>107</v>
      </c>
    </row>
    <row r="92" spans="1:7" x14ac:dyDescent="0.2">
      <c r="A92" s="9">
        <v>89</v>
      </c>
      <c r="B92" s="10" t="s">
        <v>131</v>
      </c>
      <c r="C92" s="11">
        <v>4</v>
      </c>
      <c r="D92" s="12">
        <v>232</v>
      </c>
      <c r="E92" s="13">
        <v>0.40771123872026249</v>
      </c>
      <c r="F92" s="12">
        <v>53.783000000000001</v>
      </c>
      <c r="G92" s="14" t="s">
        <v>107</v>
      </c>
    </row>
    <row r="93" spans="1:7" x14ac:dyDescent="0.2">
      <c r="A93" s="9">
        <v>90</v>
      </c>
      <c r="B93" s="10" t="s">
        <v>34</v>
      </c>
      <c r="C93" s="11">
        <v>4</v>
      </c>
      <c r="D93" s="12">
        <v>230</v>
      </c>
      <c r="E93" s="13">
        <v>0.40716434235712334</v>
      </c>
      <c r="F93" s="12">
        <v>33.75</v>
      </c>
      <c r="G93" s="14" t="s">
        <v>9</v>
      </c>
    </row>
    <row r="94" spans="1:7" x14ac:dyDescent="0.2">
      <c r="A94" s="9">
        <v>91</v>
      </c>
      <c r="B94" s="10" t="s">
        <v>35</v>
      </c>
      <c r="C94" s="11">
        <v>4</v>
      </c>
      <c r="D94" s="12">
        <v>229</v>
      </c>
      <c r="E94" s="13">
        <v>0.40689089417555374</v>
      </c>
      <c r="F94" s="12">
        <v>21.243000000000002</v>
      </c>
      <c r="G94" s="14" t="s">
        <v>9</v>
      </c>
    </row>
    <row r="95" spans="1:7" x14ac:dyDescent="0.2">
      <c r="A95" s="9">
        <v>92</v>
      </c>
      <c r="B95" s="10" t="s">
        <v>120</v>
      </c>
      <c r="C95" s="11">
        <v>16</v>
      </c>
      <c r="D95" s="12">
        <v>228.5</v>
      </c>
      <c r="E95" s="13">
        <v>0.40675417008476894</v>
      </c>
      <c r="F95" s="12">
        <v>516.67100000000005</v>
      </c>
      <c r="G95" s="14" t="s">
        <v>107</v>
      </c>
    </row>
    <row r="96" spans="1:7" x14ac:dyDescent="0.2">
      <c r="A96" s="9">
        <v>93</v>
      </c>
      <c r="B96" s="10" t="s">
        <v>38</v>
      </c>
      <c r="C96" s="11">
        <v>16</v>
      </c>
      <c r="D96" s="12">
        <v>207</v>
      </c>
      <c r="E96" s="13">
        <v>0.40087503418102272</v>
      </c>
      <c r="F96" s="12">
        <v>216.14699999999999</v>
      </c>
      <c r="G96" s="14" t="s">
        <v>9</v>
      </c>
    </row>
    <row r="97" spans="1:7" x14ac:dyDescent="0.2">
      <c r="A97" s="9">
        <v>94</v>
      </c>
      <c r="B97" s="10" t="s">
        <v>158</v>
      </c>
      <c r="C97" s="11">
        <v>16</v>
      </c>
      <c r="D97" s="12">
        <v>197.5</v>
      </c>
      <c r="E97" s="13">
        <v>0.39827727645611155</v>
      </c>
      <c r="F97" s="12">
        <v>475.70699999999999</v>
      </c>
      <c r="G97" s="14" t="s">
        <v>107</v>
      </c>
    </row>
    <row r="98" spans="1:7" x14ac:dyDescent="0.2">
      <c r="A98" s="9">
        <v>95</v>
      </c>
      <c r="B98" s="10" t="s">
        <v>132</v>
      </c>
      <c r="C98" s="11">
        <v>3</v>
      </c>
      <c r="D98" s="12">
        <v>186</v>
      </c>
      <c r="E98" s="13">
        <v>0.39513262236806124</v>
      </c>
      <c r="F98" s="12">
        <v>16.535999999999998</v>
      </c>
      <c r="G98" s="14" t="s">
        <v>107</v>
      </c>
    </row>
    <row r="99" spans="1:7" x14ac:dyDescent="0.2">
      <c r="A99" s="9">
        <v>96</v>
      </c>
      <c r="B99" s="10" t="s">
        <v>159</v>
      </c>
      <c r="C99" s="11">
        <v>16</v>
      </c>
      <c r="D99" s="12">
        <v>176</v>
      </c>
      <c r="E99" s="13">
        <v>0.39239814055236533</v>
      </c>
      <c r="F99" s="12">
        <v>208.78900000000002</v>
      </c>
      <c r="G99" s="14" t="s">
        <v>107</v>
      </c>
    </row>
    <row r="100" spans="1:7" x14ac:dyDescent="0.2">
      <c r="A100" s="9">
        <v>97</v>
      </c>
      <c r="B100" s="10" t="s">
        <v>39</v>
      </c>
      <c r="C100" s="11">
        <v>2</v>
      </c>
      <c r="D100" s="12">
        <v>173</v>
      </c>
      <c r="E100" s="13">
        <v>0.39157779600765658</v>
      </c>
      <c r="F100" s="12">
        <v>22.466000000000001</v>
      </c>
      <c r="G100" s="14" t="s">
        <v>9</v>
      </c>
    </row>
    <row r="101" spans="1:7" x14ac:dyDescent="0.2">
      <c r="A101" s="9">
        <v>98</v>
      </c>
      <c r="B101" s="10" t="s">
        <v>133</v>
      </c>
      <c r="C101" s="11">
        <v>2</v>
      </c>
      <c r="D101" s="12">
        <v>173</v>
      </c>
      <c r="E101" s="13">
        <v>0.39157779600765658</v>
      </c>
      <c r="F101" s="12">
        <v>22.692</v>
      </c>
      <c r="G101" s="14" t="s">
        <v>107</v>
      </c>
    </row>
    <row r="102" spans="1:7" x14ac:dyDescent="0.2">
      <c r="A102" s="9">
        <v>99</v>
      </c>
      <c r="B102" s="10" t="s">
        <v>40</v>
      </c>
      <c r="C102" s="11">
        <v>16</v>
      </c>
      <c r="D102" s="12">
        <v>172</v>
      </c>
      <c r="E102" s="13">
        <v>0.39130434782608697</v>
      </c>
      <c r="F102" s="12">
        <v>130.77000000000001</v>
      </c>
      <c r="G102" s="14" t="s">
        <v>9</v>
      </c>
    </row>
    <row r="103" spans="1:7" x14ac:dyDescent="0.2">
      <c r="A103" s="9">
        <v>100</v>
      </c>
      <c r="B103" s="10" t="s">
        <v>42</v>
      </c>
      <c r="C103" s="11">
        <v>3</v>
      </c>
      <c r="D103" s="12">
        <v>165</v>
      </c>
      <c r="E103" s="13">
        <v>0.38939021055509981</v>
      </c>
      <c r="F103" s="12">
        <v>21.423999999999999</v>
      </c>
      <c r="G103" s="14" t="s">
        <v>9</v>
      </c>
    </row>
    <row r="104" spans="1:7" x14ac:dyDescent="0.2">
      <c r="A104" s="9">
        <v>101</v>
      </c>
      <c r="B104" s="10" t="s">
        <v>79</v>
      </c>
      <c r="C104" s="11">
        <v>16</v>
      </c>
      <c r="D104" s="12">
        <v>1099.75</v>
      </c>
      <c r="E104" s="13">
        <v>0.38873626373626374</v>
      </c>
      <c r="F104" s="12">
        <v>24.288</v>
      </c>
      <c r="G104" s="14" t="s">
        <v>65</v>
      </c>
    </row>
    <row r="105" spans="1:7" x14ac:dyDescent="0.2">
      <c r="A105" s="9">
        <v>102</v>
      </c>
      <c r="B105" s="10" t="s">
        <v>41</v>
      </c>
      <c r="C105" s="11">
        <v>3</v>
      </c>
      <c r="D105" s="12">
        <v>162</v>
      </c>
      <c r="E105" s="13">
        <v>0.38856986601039101</v>
      </c>
      <c r="F105" s="12">
        <v>21.02</v>
      </c>
      <c r="G105" s="14" t="s">
        <v>9</v>
      </c>
    </row>
    <row r="106" spans="1:7" x14ac:dyDescent="0.2">
      <c r="A106" s="9">
        <v>103</v>
      </c>
      <c r="B106" s="10" t="s">
        <v>139</v>
      </c>
      <c r="C106" s="11">
        <v>2</v>
      </c>
      <c r="D106" s="12">
        <v>161</v>
      </c>
      <c r="E106" s="13">
        <v>0.38829641782882146</v>
      </c>
      <c r="F106" s="12">
        <v>20.235999999999997</v>
      </c>
      <c r="G106" s="14" t="s">
        <v>107</v>
      </c>
    </row>
    <row r="107" spans="1:7" x14ac:dyDescent="0.2">
      <c r="A107" s="9">
        <v>104</v>
      </c>
      <c r="B107" s="10" t="s">
        <v>50</v>
      </c>
      <c r="C107" s="11">
        <v>2</v>
      </c>
      <c r="D107" s="12">
        <v>161</v>
      </c>
      <c r="E107" s="13">
        <v>0.38829641782882146</v>
      </c>
      <c r="F107" s="12">
        <v>24.091999999999999</v>
      </c>
      <c r="G107" s="14" t="s">
        <v>9</v>
      </c>
    </row>
    <row r="108" spans="1:7" x14ac:dyDescent="0.2">
      <c r="A108" s="9">
        <v>105</v>
      </c>
      <c r="B108" s="10" t="s">
        <v>136</v>
      </c>
      <c r="C108" s="11">
        <v>4</v>
      </c>
      <c r="D108" s="12">
        <v>157</v>
      </c>
      <c r="E108" s="13">
        <v>0.38720262510254305</v>
      </c>
      <c r="F108" s="12">
        <v>43.91</v>
      </c>
      <c r="G108" s="14" t="s">
        <v>107</v>
      </c>
    </row>
    <row r="109" spans="1:7" x14ac:dyDescent="0.2">
      <c r="A109" s="9">
        <v>106</v>
      </c>
      <c r="B109" s="10" t="s">
        <v>151</v>
      </c>
      <c r="C109" s="11">
        <v>16</v>
      </c>
      <c r="D109" s="12">
        <v>156</v>
      </c>
      <c r="E109" s="13">
        <v>0.38692917692097345</v>
      </c>
      <c r="F109" s="12">
        <v>243.78899999999999</v>
      </c>
      <c r="G109" s="14" t="s">
        <v>107</v>
      </c>
    </row>
    <row r="110" spans="1:7" x14ac:dyDescent="0.2">
      <c r="A110" s="9">
        <v>107</v>
      </c>
      <c r="B110" s="10" t="s">
        <v>86</v>
      </c>
      <c r="C110" s="11">
        <v>16</v>
      </c>
      <c r="D110" s="12">
        <v>1090.2638888888889</v>
      </c>
      <c r="E110" s="13">
        <v>0.38567029375852907</v>
      </c>
      <c r="F110" s="12">
        <v>157.64400000000003</v>
      </c>
      <c r="G110" s="14" t="s">
        <v>65</v>
      </c>
    </row>
    <row r="111" spans="1:7" x14ac:dyDescent="0.2">
      <c r="A111" s="9">
        <v>108</v>
      </c>
      <c r="B111" s="10" t="s">
        <v>44</v>
      </c>
      <c r="C111" s="11">
        <v>3</v>
      </c>
      <c r="D111" s="12">
        <v>147</v>
      </c>
      <c r="E111" s="13">
        <v>0.38446814328684714</v>
      </c>
      <c r="F111" s="12">
        <v>33.363999999999997</v>
      </c>
      <c r="G111" s="14" t="s">
        <v>9</v>
      </c>
    </row>
    <row r="112" spans="1:7" x14ac:dyDescent="0.2">
      <c r="A112" s="9">
        <v>109</v>
      </c>
      <c r="B112" s="10" t="s">
        <v>134</v>
      </c>
      <c r="C112" s="11">
        <v>3</v>
      </c>
      <c r="D112" s="12">
        <v>144</v>
      </c>
      <c r="E112" s="13">
        <v>0.38364779874213839</v>
      </c>
      <c r="F112" s="12">
        <v>66.518999999999991</v>
      </c>
      <c r="G112" s="14" t="s">
        <v>107</v>
      </c>
    </row>
    <row r="113" spans="1:7" x14ac:dyDescent="0.2">
      <c r="A113" s="9">
        <v>110</v>
      </c>
      <c r="B113" s="10" t="s">
        <v>137</v>
      </c>
      <c r="C113" s="11">
        <v>4</v>
      </c>
      <c r="D113" s="12">
        <v>139</v>
      </c>
      <c r="E113" s="13">
        <v>0.38228055783429038</v>
      </c>
      <c r="F113" s="12">
        <v>34.353999999999999</v>
      </c>
      <c r="G113" s="14" t="s">
        <v>107</v>
      </c>
    </row>
    <row r="114" spans="1:7" x14ac:dyDescent="0.2">
      <c r="A114" s="9">
        <v>111</v>
      </c>
      <c r="B114" s="10" t="s">
        <v>66</v>
      </c>
      <c r="C114" s="11">
        <v>16</v>
      </c>
      <c r="D114" s="12">
        <v>1078.75</v>
      </c>
      <c r="E114" s="13">
        <v>0.38194893341952163</v>
      </c>
      <c r="F114" s="12">
        <v>163.29700000000003</v>
      </c>
      <c r="G114" s="14" t="s">
        <v>65</v>
      </c>
    </row>
    <row r="115" spans="1:7" x14ac:dyDescent="0.2">
      <c r="A115" s="9">
        <v>112</v>
      </c>
      <c r="B115" s="10" t="s">
        <v>45</v>
      </c>
      <c r="C115" s="11">
        <v>15</v>
      </c>
      <c r="D115" s="12">
        <v>129</v>
      </c>
      <c r="E115" s="13">
        <v>0.37954607601859447</v>
      </c>
      <c r="F115" s="12">
        <v>139.75</v>
      </c>
      <c r="G115" s="14" t="s">
        <v>9</v>
      </c>
    </row>
    <row r="116" spans="1:7" x14ac:dyDescent="0.2">
      <c r="A116" s="9">
        <v>113</v>
      </c>
      <c r="B116" s="10" t="s">
        <v>138</v>
      </c>
      <c r="C116" s="11">
        <v>4</v>
      </c>
      <c r="D116" s="12">
        <v>127</v>
      </c>
      <c r="E116" s="13">
        <v>0.37899917965545526</v>
      </c>
      <c r="F116" s="12">
        <v>60.378</v>
      </c>
      <c r="G116" s="14" t="s">
        <v>107</v>
      </c>
    </row>
    <row r="117" spans="1:7" x14ac:dyDescent="0.2">
      <c r="A117" s="9">
        <v>114</v>
      </c>
      <c r="B117" s="10" t="s">
        <v>43</v>
      </c>
      <c r="C117" s="11">
        <v>2</v>
      </c>
      <c r="D117" s="12">
        <v>114</v>
      </c>
      <c r="E117" s="13">
        <v>0.3754443532950506</v>
      </c>
      <c r="F117" s="12">
        <v>27.643999999999998</v>
      </c>
      <c r="G117" s="14" t="s">
        <v>9</v>
      </c>
    </row>
    <row r="118" spans="1:7" x14ac:dyDescent="0.2">
      <c r="A118" s="9">
        <v>115</v>
      </c>
      <c r="B118" s="10" t="s">
        <v>47</v>
      </c>
      <c r="C118" s="11">
        <v>2</v>
      </c>
      <c r="D118" s="12">
        <v>93</v>
      </c>
      <c r="E118" s="13">
        <v>0.36970194148208912</v>
      </c>
      <c r="F118" s="12">
        <v>32.94</v>
      </c>
      <c r="G118" s="14" t="s">
        <v>9</v>
      </c>
    </row>
    <row r="119" spans="1:7" x14ac:dyDescent="0.2">
      <c r="A119" s="9">
        <v>116</v>
      </c>
      <c r="B119" s="10" t="s">
        <v>140</v>
      </c>
      <c r="C119" s="11">
        <v>4</v>
      </c>
      <c r="D119" s="12">
        <v>87</v>
      </c>
      <c r="E119" s="13">
        <v>0.36806125239267157</v>
      </c>
      <c r="F119" s="12">
        <v>15.411000000000001</v>
      </c>
      <c r="G119" s="14" t="s">
        <v>107</v>
      </c>
    </row>
    <row r="120" spans="1:7" x14ac:dyDescent="0.2">
      <c r="A120" s="9">
        <v>117</v>
      </c>
      <c r="B120" s="10" t="s">
        <v>48</v>
      </c>
      <c r="C120" s="11">
        <v>1</v>
      </c>
      <c r="D120" s="12">
        <v>84</v>
      </c>
      <c r="E120" s="13">
        <v>0.36724090784796282</v>
      </c>
      <c r="F120" s="12">
        <v>15.502000000000001</v>
      </c>
      <c r="G120" s="14" t="s">
        <v>9</v>
      </c>
    </row>
    <row r="121" spans="1:7" x14ac:dyDescent="0.2">
      <c r="A121" s="9">
        <v>118</v>
      </c>
      <c r="B121" s="10" t="s">
        <v>141</v>
      </c>
      <c r="C121" s="11">
        <v>1</v>
      </c>
      <c r="D121" s="12">
        <v>84</v>
      </c>
      <c r="E121" s="13">
        <v>0.36724090784796282</v>
      </c>
      <c r="F121" s="12">
        <v>21.844000000000001</v>
      </c>
      <c r="G121" s="14" t="s">
        <v>107</v>
      </c>
    </row>
    <row r="122" spans="1:7" x14ac:dyDescent="0.2">
      <c r="A122" s="9">
        <v>119</v>
      </c>
      <c r="B122" s="10" t="s">
        <v>188</v>
      </c>
      <c r="C122" s="11">
        <v>1</v>
      </c>
      <c r="D122" s="12">
        <v>84</v>
      </c>
      <c r="E122" s="13">
        <v>0.36724090784796282</v>
      </c>
      <c r="F122" s="12">
        <v>28.414000000000001</v>
      </c>
      <c r="G122" s="14" t="s">
        <v>107</v>
      </c>
    </row>
    <row r="123" spans="1:7" x14ac:dyDescent="0.2">
      <c r="A123" s="9">
        <v>120</v>
      </c>
      <c r="B123" s="10" t="s">
        <v>49</v>
      </c>
      <c r="C123" s="11">
        <v>4</v>
      </c>
      <c r="D123" s="12">
        <v>84</v>
      </c>
      <c r="E123" s="13">
        <v>0.36724090784796282</v>
      </c>
      <c r="F123" s="12">
        <v>39.614999999999995</v>
      </c>
      <c r="G123" s="14" t="s">
        <v>9</v>
      </c>
    </row>
    <row r="124" spans="1:7" x14ac:dyDescent="0.2">
      <c r="A124" s="9">
        <v>121</v>
      </c>
      <c r="B124" s="10" t="s">
        <v>142</v>
      </c>
      <c r="C124" s="11">
        <v>1</v>
      </c>
      <c r="D124" s="12">
        <v>79</v>
      </c>
      <c r="E124" s="13">
        <v>0.36587366694011486</v>
      </c>
      <c r="F124" s="12">
        <v>10.444000000000001</v>
      </c>
      <c r="G124" s="14" t="s">
        <v>107</v>
      </c>
    </row>
    <row r="125" spans="1:7" x14ac:dyDescent="0.2">
      <c r="A125" s="9">
        <v>122</v>
      </c>
      <c r="B125" s="10" t="s">
        <v>143</v>
      </c>
      <c r="C125" s="11">
        <v>1</v>
      </c>
      <c r="D125" s="12">
        <v>79</v>
      </c>
      <c r="E125" s="13">
        <v>0.36587366694011486</v>
      </c>
      <c r="F125" s="12">
        <v>22.04</v>
      </c>
      <c r="G125" s="14" t="s">
        <v>107</v>
      </c>
    </row>
    <row r="126" spans="1:7" x14ac:dyDescent="0.2">
      <c r="A126" s="9">
        <v>123</v>
      </c>
      <c r="B126" s="10" t="s">
        <v>144</v>
      </c>
      <c r="C126" s="11">
        <v>1</v>
      </c>
      <c r="D126" s="12">
        <v>79</v>
      </c>
      <c r="E126" s="13">
        <v>0.36587366694011486</v>
      </c>
      <c r="F126" s="12">
        <v>30.841999999999999</v>
      </c>
      <c r="G126" s="14" t="s">
        <v>107</v>
      </c>
    </row>
    <row r="127" spans="1:7" x14ac:dyDescent="0.2">
      <c r="A127" s="9">
        <v>124</v>
      </c>
      <c r="B127" s="10" t="s">
        <v>51</v>
      </c>
      <c r="C127" s="11">
        <v>4</v>
      </c>
      <c r="D127" s="12">
        <v>75</v>
      </c>
      <c r="E127" s="13">
        <v>0.36477987421383645</v>
      </c>
      <c r="F127" s="12">
        <v>37.607999999999997</v>
      </c>
      <c r="G127" s="14" t="s">
        <v>9</v>
      </c>
    </row>
    <row r="128" spans="1:7" x14ac:dyDescent="0.2">
      <c r="A128" s="9">
        <v>125</v>
      </c>
      <c r="B128" s="10" t="s">
        <v>52</v>
      </c>
      <c r="C128" s="11">
        <v>3</v>
      </c>
      <c r="D128" s="12">
        <v>75</v>
      </c>
      <c r="E128" s="13">
        <v>0.36477987421383645</v>
      </c>
      <c r="F128" s="12">
        <v>38.795999999999999</v>
      </c>
      <c r="G128" s="14" t="s">
        <v>9</v>
      </c>
    </row>
    <row r="129" spans="1:7" x14ac:dyDescent="0.2">
      <c r="A129" s="9">
        <v>126</v>
      </c>
      <c r="B129" s="10" t="s">
        <v>176</v>
      </c>
      <c r="C129" s="11">
        <v>1</v>
      </c>
      <c r="D129" s="12">
        <v>72</v>
      </c>
      <c r="E129" s="13">
        <v>0.3639595296691277</v>
      </c>
      <c r="F129" s="12">
        <v>11.938000000000001</v>
      </c>
      <c r="G129" s="14" t="s">
        <v>9</v>
      </c>
    </row>
    <row r="130" spans="1:7" x14ac:dyDescent="0.2">
      <c r="A130" s="9">
        <v>127</v>
      </c>
      <c r="B130" s="10" t="s">
        <v>145</v>
      </c>
      <c r="C130" s="11">
        <v>1</v>
      </c>
      <c r="D130" s="12">
        <v>72</v>
      </c>
      <c r="E130" s="13">
        <v>0.3639595296691277</v>
      </c>
      <c r="F130" s="12">
        <v>20.059999999999999</v>
      </c>
      <c r="G130" s="14" t="s">
        <v>107</v>
      </c>
    </row>
    <row r="131" spans="1:7" x14ac:dyDescent="0.2">
      <c r="A131" s="9">
        <v>128</v>
      </c>
      <c r="B131" s="10" t="s">
        <v>174</v>
      </c>
      <c r="C131" s="11">
        <v>2</v>
      </c>
      <c r="D131" s="12">
        <v>72</v>
      </c>
      <c r="E131" s="13">
        <v>0.3639595296691277</v>
      </c>
      <c r="F131" s="12">
        <v>25.946999999999999</v>
      </c>
      <c r="G131" s="14" t="s">
        <v>9</v>
      </c>
    </row>
    <row r="132" spans="1:7" x14ac:dyDescent="0.2">
      <c r="A132" s="9">
        <v>129</v>
      </c>
      <c r="B132" s="10" t="s">
        <v>146</v>
      </c>
      <c r="C132" s="11">
        <v>1</v>
      </c>
      <c r="D132" s="12">
        <v>72</v>
      </c>
      <c r="E132" s="13">
        <v>0.3639595296691277</v>
      </c>
      <c r="F132" s="12">
        <v>25.995999999999999</v>
      </c>
      <c r="G132" s="14" t="s">
        <v>107</v>
      </c>
    </row>
    <row r="133" spans="1:7" x14ac:dyDescent="0.2">
      <c r="A133" s="9">
        <v>130</v>
      </c>
      <c r="B133" s="10" t="s">
        <v>147</v>
      </c>
      <c r="C133" s="11">
        <v>16</v>
      </c>
      <c r="D133" s="12">
        <v>72</v>
      </c>
      <c r="E133" s="13">
        <v>0.3639595296691277</v>
      </c>
      <c r="F133" s="12">
        <v>77.995999999999995</v>
      </c>
      <c r="G133" s="14" t="s">
        <v>107</v>
      </c>
    </row>
    <row r="134" spans="1:7" x14ac:dyDescent="0.2">
      <c r="A134" s="9">
        <v>131</v>
      </c>
      <c r="B134" s="10" t="s">
        <v>55</v>
      </c>
      <c r="C134" s="11">
        <v>2</v>
      </c>
      <c r="D134" s="12">
        <v>68</v>
      </c>
      <c r="E134" s="13">
        <v>0.36286573694284935</v>
      </c>
      <c r="F134" s="12">
        <v>23.669</v>
      </c>
      <c r="G134" s="14" t="s">
        <v>9</v>
      </c>
    </row>
    <row r="135" spans="1:7" x14ac:dyDescent="0.2">
      <c r="A135" s="9">
        <v>132</v>
      </c>
      <c r="B135" s="10" t="s">
        <v>148</v>
      </c>
      <c r="C135" s="11">
        <v>3</v>
      </c>
      <c r="D135" s="12">
        <v>57</v>
      </c>
      <c r="E135" s="13">
        <v>0.35985780694558384</v>
      </c>
      <c r="F135" s="12">
        <v>24.43</v>
      </c>
      <c r="G135" s="14" t="s">
        <v>107</v>
      </c>
    </row>
    <row r="136" spans="1:7" x14ac:dyDescent="0.2">
      <c r="A136" s="9">
        <v>133</v>
      </c>
      <c r="B136" s="10" t="s">
        <v>149</v>
      </c>
      <c r="C136" s="11">
        <v>2</v>
      </c>
      <c r="D136" s="12">
        <v>55</v>
      </c>
      <c r="E136" s="13">
        <v>0.35931091058244463</v>
      </c>
      <c r="F136" s="12">
        <v>39.11</v>
      </c>
      <c r="G136" s="14" t="s">
        <v>107</v>
      </c>
    </row>
    <row r="137" spans="1:7" x14ac:dyDescent="0.2">
      <c r="A137" s="9">
        <v>134</v>
      </c>
      <c r="B137" s="10" t="s">
        <v>186</v>
      </c>
      <c r="C137" s="11">
        <v>1</v>
      </c>
      <c r="D137" s="12">
        <v>52</v>
      </c>
      <c r="E137" s="13">
        <v>0.35849056603773582</v>
      </c>
      <c r="F137" s="12">
        <v>7.0309999999999997</v>
      </c>
      <c r="G137" s="14" t="s">
        <v>107</v>
      </c>
    </row>
    <row r="138" spans="1:7" x14ac:dyDescent="0.2">
      <c r="A138" s="9">
        <v>135</v>
      </c>
      <c r="B138" s="10" t="s">
        <v>46</v>
      </c>
      <c r="C138" s="11">
        <v>1</v>
      </c>
      <c r="D138" s="12">
        <v>52</v>
      </c>
      <c r="E138" s="13">
        <v>0.35849056603773582</v>
      </c>
      <c r="F138" s="12">
        <v>12.191000000000001</v>
      </c>
      <c r="G138" s="14" t="s">
        <v>9</v>
      </c>
    </row>
    <row r="139" spans="1:7" x14ac:dyDescent="0.2">
      <c r="A139" s="9">
        <v>136</v>
      </c>
      <c r="B139" s="10" t="s">
        <v>53</v>
      </c>
      <c r="C139" s="11">
        <v>1</v>
      </c>
      <c r="D139" s="12">
        <v>52</v>
      </c>
      <c r="E139" s="13">
        <v>0.35849056603773582</v>
      </c>
      <c r="F139" s="12">
        <v>17.378</v>
      </c>
      <c r="G139" s="14" t="s">
        <v>9</v>
      </c>
    </row>
    <row r="140" spans="1:7" x14ac:dyDescent="0.2">
      <c r="A140" s="9">
        <v>137</v>
      </c>
      <c r="B140" s="10" t="s">
        <v>54</v>
      </c>
      <c r="C140" s="11">
        <v>1</v>
      </c>
      <c r="D140" s="12">
        <v>46</v>
      </c>
      <c r="E140" s="13">
        <v>0.35684987694831827</v>
      </c>
      <c r="F140" s="12">
        <v>19.344999999999999</v>
      </c>
      <c r="G140" s="14" t="s">
        <v>9</v>
      </c>
    </row>
    <row r="141" spans="1:7" x14ac:dyDescent="0.2">
      <c r="A141" s="9">
        <v>138</v>
      </c>
      <c r="B141" s="10" t="s">
        <v>152</v>
      </c>
      <c r="C141" s="11">
        <v>14</v>
      </c>
      <c r="D141" s="12">
        <v>25</v>
      </c>
      <c r="E141" s="13">
        <v>0.35110746513535684</v>
      </c>
      <c r="F141" s="12">
        <v>97.342999999999989</v>
      </c>
      <c r="G141" s="14" t="s">
        <v>107</v>
      </c>
    </row>
    <row r="142" spans="1:7" x14ac:dyDescent="0.2">
      <c r="A142" s="9">
        <v>139</v>
      </c>
      <c r="B142" s="10" t="s">
        <v>153</v>
      </c>
      <c r="C142" s="11">
        <v>1</v>
      </c>
      <c r="D142" s="12">
        <v>0</v>
      </c>
      <c r="E142" s="13">
        <v>0.34427126059611701</v>
      </c>
      <c r="F142" s="12">
        <v>9.3620000000000001</v>
      </c>
      <c r="G142" s="14" t="s">
        <v>107</v>
      </c>
    </row>
    <row r="143" spans="1:7" x14ac:dyDescent="0.2">
      <c r="A143" s="9">
        <v>140</v>
      </c>
      <c r="B143" s="10" t="s">
        <v>190</v>
      </c>
      <c r="C143" s="11">
        <v>16</v>
      </c>
      <c r="D143" s="12">
        <v>0</v>
      </c>
      <c r="E143" s="13">
        <v>0.34427126059611701</v>
      </c>
      <c r="F143" s="12">
        <v>181.10200000000006</v>
      </c>
      <c r="G143" s="14" t="s">
        <v>107</v>
      </c>
    </row>
    <row r="144" spans="1:7" x14ac:dyDescent="0.2">
      <c r="A144" s="9">
        <v>141</v>
      </c>
      <c r="B144" s="10" t="s">
        <v>154</v>
      </c>
      <c r="C144" s="11">
        <v>16</v>
      </c>
      <c r="D144" s="12">
        <v>0</v>
      </c>
      <c r="E144" s="13">
        <v>0.34427126059611701</v>
      </c>
      <c r="F144" s="12">
        <v>191.541</v>
      </c>
      <c r="G144" s="14" t="s">
        <v>107</v>
      </c>
    </row>
    <row r="145" spans="1:7" x14ac:dyDescent="0.2">
      <c r="A145" s="9">
        <v>142</v>
      </c>
      <c r="B145" s="10" t="s">
        <v>87</v>
      </c>
      <c r="C145" s="11">
        <v>16</v>
      </c>
      <c r="D145" s="12">
        <v>953.5</v>
      </c>
      <c r="E145" s="13">
        <v>0.34146735617323853</v>
      </c>
      <c r="F145" s="12">
        <v>389.35599999999999</v>
      </c>
      <c r="G145" s="14" t="s">
        <v>65</v>
      </c>
    </row>
    <row r="146" spans="1:7" x14ac:dyDescent="0.2">
      <c r="A146" s="9">
        <v>143</v>
      </c>
      <c r="B146" s="10" t="s">
        <v>123</v>
      </c>
      <c r="C146" s="11">
        <v>16</v>
      </c>
      <c r="D146" s="12">
        <v>-25</v>
      </c>
      <c r="E146" s="13">
        <v>0.33743505605687724</v>
      </c>
      <c r="F146" s="12">
        <v>163.01299999999998</v>
      </c>
      <c r="G146" s="14" t="s">
        <v>107</v>
      </c>
    </row>
    <row r="147" spans="1:7" x14ac:dyDescent="0.2">
      <c r="A147" s="9">
        <v>144</v>
      </c>
      <c r="B147" s="10" t="s">
        <v>29</v>
      </c>
      <c r="C147" s="11">
        <v>16</v>
      </c>
      <c r="D147" s="12">
        <v>-41</v>
      </c>
      <c r="E147" s="13">
        <v>0.33305988515176377</v>
      </c>
      <c r="F147" s="12">
        <v>91.013999999999996</v>
      </c>
      <c r="G147" s="14" t="s">
        <v>9</v>
      </c>
    </row>
    <row r="148" spans="1:7" x14ac:dyDescent="0.2">
      <c r="A148" s="9">
        <v>145</v>
      </c>
      <c r="B148" s="10" t="s">
        <v>178</v>
      </c>
      <c r="C148" s="11">
        <v>16</v>
      </c>
      <c r="D148" s="12">
        <v>911.46666666666658</v>
      </c>
      <c r="E148" s="13">
        <v>0.327881921999569</v>
      </c>
      <c r="F148" s="12">
        <v>142.80799999999999</v>
      </c>
      <c r="G148" s="14" t="s">
        <v>65</v>
      </c>
    </row>
    <row r="149" spans="1:7" x14ac:dyDescent="0.2">
      <c r="A149" s="9">
        <v>146</v>
      </c>
      <c r="B149" s="10" t="s">
        <v>57</v>
      </c>
      <c r="C149" s="11">
        <v>16</v>
      </c>
      <c r="D149" s="12">
        <v>-71</v>
      </c>
      <c r="E149" s="13">
        <v>0.32485643970467598</v>
      </c>
      <c r="F149" s="12">
        <v>125.34399999999999</v>
      </c>
      <c r="G149" s="14" t="s">
        <v>9</v>
      </c>
    </row>
    <row r="150" spans="1:7" x14ac:dyDescent="0.2">
      <c r="A150" s="9">
        <v>147</v>
      </c>
      <c r="B150" s="10" t="s">
        <v>59</v>
      </c>
      <c r="C150" s="11">
        <v>16</v>
      </c>
      <c r="D150" s="12">
        <v>-86</v>
      </c>
      <c r="E150" s="13">
        <v>0.32075471698113206</v>
      </c>
      <c r="F150" s="12">
        <v>140.529</v>
      </c>
      <c r="G150" s="14" t="s">
        <v>9</v>
      </c>
    </row>
    <row r="151" spans="1:7" x14ac:dyDescent="0.2">
      <c r="A151" s="9">
        <v>148</v>
      </c>
      <c r="B151" s="10" t="s">
        <v>156</v>
      </c>
      <c r="C151" s="11">
        <v>16</v>
      </c>
      <c r="D151" s="12">
        <v>-95.5</v>
      </c>
      <c r="E151" s="13">
        <v>0.31815695925622095</v>
      </c>
      <c r="F151" s="12">
        <v>584.00799999999992</v>
      </c>
      <c r="G151" s="14" t="s">
        <v>107</v>
      </c>
    </row>
    <row r="152" spans="1:7" x14ac:dyDescent="0.2">
      <c r="A152" s="9">
        <v>149</v>
      </c>
      <c r="B152" s="10" t="s">
        <v>125</v>
      </c>
      <c r="C152" s="11">
        <v>16</v>
      </c>
      <c r="D152" s="12">
        <v>-139</v>
      </c>
      <c r="E152" s="13">
        <v>0.30626196335794365</v>
      </c>
      <c r="F152" s="12">
        <v>132.04500000000002</v>
      </c>
      <c r="G152" s="14" t="s">
        <v>107</v>
      </c>
    </row>
    <row r="153" spans="1:7" x14ac:dyDescent="0.2">
      <c r="A153" s="9">
        <v>150</v>
      </c>
      <c r="B153" s="10" t="s">
        <v>21</v>
      </c>
      <c r="C153" s="11">
        <v>16</v>
      </c>
      <c r="D153" s="12">
        <v>-195</v>
      </c>
      <c r="E153" s="13">
        <v>0.29094886519004648</v>
      </c>
      <c r="F153" s="12">
        <v>173.84000000000003</v>
      </c>
      <c r="G153" s="14" t="s">
        <v>9</v>
      </c>
    </row>
    <row r="154" spans="1:7" x14ac:dyDescent="0.2">
      <c r="A154" s="9">
        <v>151</v>
      </c>
      <c r="B154" s="10" t="s">
        <v>185</v>
      </c>
      <c r="C154" s="11">
        <v>10</v>
      </c>
      <c r="D154" s="12">
        <v>-199</v>
      </c>
      <c r="E154" s="13">
        <v>0.28985507246376813</v>
      </c>
      <c r="F154" s="12">
        <v>198.46100000000001</v>
      </c>
      <c r="G154" s="14" t="s">
        <v>107</v>
      </c>
    </row>
    <row r="155" spans="1:7" x14ac:dyDescent="0.2">
      <c r="A155" s="9">
        <v>152</v>
      </c>
      <c r="B155" s="10" t="s">
        <v>155</v>
      </c>
      <c r="C155" s="11">
        <v>16</v>
      </c>
      <c r="D155" s="12">
        <v>-282.5</v>
      </c>
      <c r="E155" s="13">
        <v>0.26702214930270712</v>
      </c>
      <c r="F155" s="12">
        <v>127.44100000000002</v>
      </c>
      <c r="G155" s="14" t="s">
        <v>107</v>
      </c>
    </row>
    <row r="156" spans="1:7" x14ac:dyDescent="0.2">
      <c r="A156" s="9">
        <v>153</v>
      </c>
      <c r="B156" s="10" t="s">
        <v>118</v>
      </c>
      <c r="C156" s="11">
        <v>16</v>
      </c>
      <c r="D156" s="12">
        <v>-298.5</v>
      </c>
      <c r="E156" s="13">
        <v>0.26264697839759366</v>
      </c>
      <c r="F156" s="12">
        <v>204.65299999999999</v>
      </c>
      <c r="G156" s="14" t="s">
        <v>107</v>
      </c>
    </row>
    <row r="157" spans="1:7" x14ac:dyDescent="0.2">
      <c r="A157" s="9">
        <v>154</v>
      </c>
      <c r="B157" s="10" t="s">
        <v>58</v>
      </c>
      <c r="C157" s="11">
        <v>16</v>
      </c>
      <c r="D157" s="12">
        <v>-311</v>
      </c>
      <c r="E157" s="13">
        <v>0.25922887612797374</v>
      </c>
      <c r="F157" s="12">
        <v>130.965</v>
      </c>
      <c r="G157" s="14" t="s">
        <v>9</v>
      </c>
    </row>
    <row r="158" spans="1:7" x14ac:dyDescent="0.2">
      <c r="A158" s="9">
        <v>155</v>
      </c>
      <c r="B158" s="10" t="s">
        <v>70</v>
      </c>
      <c r="C158" s="11">
        <v>16</v>
      </c>
      <c r="D158" s="12">
        <v>696.25</v>
      </c>
      <c r="E158" s="13">
        <v>0.25832255979314805</v>
      </c>
      <c r="F158" s="12">
        <v>186.14699999999996</v>
      </c>
      <c r="G158" s="14" t="s">
        <v>65</v>
      </c>
    </row>
    <row r="159" spans="1:7" x14ac:dyDescent="0.2">
      <c r="A159" s="9">
        <v>156</v>
      </c>
      <c r="B159" s="10" t="s">
        <v>181</v>
      </c>
      <c r="C159" s="11">
        <v>16</v>
      </c>
      <c r="D159" s="12">
        <v>-397</v>
      </c>
      <c r="E159" s="13">
        <v>0.23571233251298879</v>
      </c>
      <c r="F159" s="12">
        <v>67.683999999999997</v>
      </c>
      <c r="G159" s="14" t="s">
        <v>107</v>
      </c>
    </row>
    <row r="160" spans="1:7" x14ac:dyDescent="0.2">
      <c r="A160" s="9">
        <v>157</v>
      </c>
      <c r="B160" s="10" t="s">
        <v>23</v>
      </c>
      <c r="C160" s="11">
        <v>16</v>
      </c>
      <c r="D160" s="12">
        <v>-427</v>
      </c>
      <c r="E160" s="13">
        <v>0.227508887065901</v>
      </c>
      <c r="F160" s="12">
        <v>180.12</v>
      </c>
      <c r="G160" s="14" t="s">
        <v>9</v>
      </c>
    </row>
    <row r="161" spans="1:7" x14ac:dyDescent="0.2">
      <c r="A161" s="9">
        <v>158</v>
      </c>
      <c r="B161" s="10" t="s">
        <v>61</v>
      </c>
      <c r="C161" s="11">
        <v>16</v>
      </c>
      <c r="D161" s="12">
        <v>-512</v>
      </c>
      <c r="E161" s="13">
        <v>0.20426579163248565</v>
      </c>
      <c r="F161" s="12">
        <v>170.066</v>
      </c>
      <c r="G161" s="14" t="s">
        <v>9</v>
      </c>
    </row>
    <row r="162" spans="1:7" x14ac:dyDescent="0.2">
      <c r="A162" s="9">
        <v>159</v>
      </c>
      <c r="B162" s="10" t="s">
        <v>62</v>
      </c>
      <c r="C162" s="11">
        <v>16</v>
      </c>
      <c r="D162" s="12">
        <v>-514</v>
      </c>
      <c r="E162" s="13">
        <v>0.20371889526934644</v>
      </c>
      <c r="F162" s="12">
        <v>169.958</v>
      </c>
      <c r="G162" s="14" t="s">
        <v>9</v>
      </c>
    </row>
    <row r="163" spans="1:7" x14ac:dyDescent="0.2">
      <c r="A163" s="9">
        <v>160</v>
      </c>
      <c r="B163" s="10" t="s">
        <v>63</v>
      </c>
      <c r="C163" s="11">
        <v>16</v>
      </c>
      <c r="D163" s="12">
        <v>-722</v>
      </c>
      <c r="E163" s="13">
        <v>0.1468416735028712</v>
      </c>
      <c r="F163" s="12">
        <v>246.44299999999998</v>
      </c>
      <c r="G163" s="14" t="s">
        <v>9</v>
      </c>
    </row>
    <row r="164" spans="1:7" x14ac:dyDescent="0.2">
      <c r="A164" s="9">
        <v>161</v>
      </c>
      <c r="B164" s="10" t="s">
        <v>84</v>
      </c>
      <c r="C164" s="11">
        <v>5</v>
      </c>
      <c r="D164" s="12">
        <v>235</v>
      </c>
      <c r="E164" s="13">
        <v>0.1092436974789916</v>
      </c>
      <c r="F164" s="12">
        <v>77.197000000000003</v>
      </c>
      <c r="G164" s="14" t="s">
        <v>65</v>
      </c>
    </row>
    <row r="165" spans="1:7" x14ac:dyDescent="0.2">
      <c r="A165" s="9">
        <v>162</v>
      </c>
      <c r="B165" s="10" t="s">
        <v>82</v>
      </c>
      <c r="C165" s="11">
        <v>4</v>
      </c>
      <c r="D165" s="12">
        <v>223.75</v>
      </c>
      <c r="E165" s="13">
        <v>0.1056076276664512</v>
      </c>
      <c r="F165" s="12">
        <v>20.513000000000002</v>
      </c>
      <c r="G165" s="14" t="s">
        <v>65</v>
      </c>
    </row>
    <row r="166" spans="1:7" x14ac:dyDescent="0.2">
      <c r="A166" s="9">
        <v>163</v>
      </c>
      <c r="B166" s="10" t="s">
        <v>80</v>
      </c>
      <c r="C166" s="11">
        <v>4</v>
      </c>
      <c r="D166" s="12">
        <v>211</v>
      </c>
      <c r="E166" s="13">
        <v>0.10148674854557208</v>
      </c>
      <c r="F166" s="12">
        <v>43.813000000000002</v>
      </c>
      <c r="G166" s="14" t="s">
        <v>65</v>
      </c>
    </row>
    <row r="167" spans="1:7" x14ac:dyDescent="0.2">
      <c r="A167" s="9">
        <v>164</v>
      </c>
      <c r="B167" s="10" t="s">
        <v>103</v>
      </c>
      <c r="C167" s="11">
        <v>4</v>
      </c>
      <c r="D167" s="12">
        <v>185</v>
      </c>
      <c r="E167" s="13">
        <v>9.3083387201034262E-2</v>
      </c>
      <c r="F167" s="12">
        <v>35.942</v>
      </c>
      <c r="G167" s="14" t="s">
        <v>65</v>
      </c>
    </row>
    <row r="168" spans="1:7" x14ac:dyDescent="0.2">
      <c r="A168" s="9">
        <v>165</v>
      </c>
      <c r="B168" s="10" t="s">
        <v>69</v>
      </c>
      <c r="C168" s="11">
        <v>5</v>
      </c>
      <c r="D168" s="12">
        <v>179.41666666666666</v>
      </c>
      <c r="E168" s="13">
        <v>9.1278819219995672E-2</v>
      </c>
      <c r="F168" s="12">
        <v>30.134</v>
      </c>
      <c r="G168" s="14" t="s">
        <v>65</v>
      </c>
    </row>
    <row r="169" spans="1:7" x14ac:dyDescent="0.2">
      <c r="A169" s="9">
        <v>166</v>
      </c>
      <c r="B169" s="10" t="s">
        <v>64</v>
      </c>
      <c r="C169" s="11">
        <v>4</v>
      </c>
      <c r="D169" s="12">
        <v>155.5</v>
      </c>
      <c r="E169" s="13">
        <v>8.3548804137039426E-2</v>
      </c>
      <c r="F169" s="12">
        <v>13.404</v>
      </c>
      <c r="G169" s="14" t="s">
        <v>65</v>
      </c>
    </row>
    <row r="170" spans="1:7" x14ac:dyDescent="0.2">
      <c r="A170" s="9">
        <v>167</v>
      </c>
      <c r="B170" s="10" t="s">
        <v>102</v>
      </c>
      <c r="C170" s="11">
        <v>1</v>
      </c>
      <c r="D170" s="12">
        <v>84</v>
      </c>
      <c r="E170" s="13">
        <v>6.043956043956044E-2</v>
      </c>
      <c r="F170" s="12">
        <v>28.669</v>
      </c>
      <c r="G170" s="14" t="s">
        <v>65</v>
      </c>
    </row>
    <row r="171" spans="1:7" x14ac:dyDescent="0.2">
      <c r="A171" s="9">
        <v>168</v>
      </c>
      <c r="B171" s="10" t="s">
        <v>177</v>
      </c>
      <c r="C171" s="11">
        <v>1</v>
      </c>
      <c r="D171" s="12">
        <v>69.5</v>
      </c>
      <c r="E171" s="13">
        <v>5.5753070458952815E-2</v>
      </c>
      <c r="F171" s="12">
        <v>2.2400000000000002</v>
      </c>
      <c r="G171" s="14" t="s">
        <v>65</v>
      </c>
    </row>
    <row r="172" spans="1:7" x14ac:dyDescent="0.2">
      <c r="A172" s="9">
        <v>169</v>
      </c>
      <c r="B172" s="10" t="s">
        <v>90</v>
      </c>
      <c r="C172" s="11">
        <v>1</v>
      </c>
      <c r="D172" s="12">
        <v>69.5</v>
      </c>
      <c r="E172" s="13">
        <v>5.5753070458952815E-2</v>
      </c>
      <c r="F172" s="12">
        <v>16.535</v>
      </c>
      <c r="G172" s="14" t="s">
        <v>65</v>
      </c>
    </row>
    <row r="173" spans="1:7" x14ac:dyDescent="0.2">
      <c r="A173" s="9">
        <v>170</v>
      </c>
      <c r="B173" s="10" t="s">
        <v>94</v>
      </c>
      <c r="C173" s="11">
        <v>1</v>
      </c>
      <c r="D173" s="12">
        <v>65.5</v>
      </c>
      <c r="E173" s="13">
        <v>5.4460245636716226E-2</v>
      </c>
      <c r="F173" s="12">
        <v>9.6300000000000008</v>
      </c>
      <c r="G173" s="14" t="s">
        <v>65</v>
      </c>
    </row>
    <row r="174" spans="1:7" x14ac:dyDescent="0.2">
      <c r="A174" s="9">
        <v>171</v>
      </c>
      <c r="B174" s="10" t="s">
        <v>77</v>
      </c>
      <c r="C174" s="11">
        <v>1</v>
      </c>
      <c r="D174" s="12">
        <v>46</v>
      </c>
      <c r="E174" s="13">
        <v>4.8157724628312866E-2</v>
      </c>
      <c r="F174" s="12">
        <v>8.2479999999999993</v>
      </c>
      <c r="G174" s="14" t="s">
        <v>65</v>
      </c>
    </row>
    <row r="175" spans="1:7" x14ac:dyDescent="0.2">
      <c r="A175" s="9">
        <v>172</v>
      </c>
      <c r="B175" s="10" t="s">
        <v>89</v>
      </c>
      <c r="C175" s="11">
        <v>1</v>
      </c>
      <c r="D175" s="12">
        <v>46</v>
      </c>
      <c r="E175" s="13">
        <v>4.8157724628312866E-2</v>
      </c>
      <c r="F175" s="12">
        <v>10.59</v>
      </c>
      <c r="G175" s="14" t="s">
        <v>65</v>
      </c>
    </row>
    <row r="176" spans="1:7" x14ac:dyDescent="0.2">
      <c r="A176" s="9"/>
      <c r="B176" s="10"/>
      <c r="C176" s="11"/>
      <c r="D176" s="12"/>
      <c r="E176" s="13"/>
      <c r="F176" s="12"/>
      <c r="G176" s="14"/>
    </row>
    <row r="177" spans="1:7" x14ac:dyDescent="0.2">
      <c r="A177" s="9"/>
      <c r="B177" s="10"/>
      <c r="C177" s="11"/>
      <c r="D177" s="12"/>
      <c r="E177" s="13"/>
      <c r="F177" s="12"/>
      <c r="G177" s="14"/>
    </row>
    <row r="178" spans="1:7" x14ac:dyDescent="0.2">
      <c r="A178" s="9"/>
      <c r="B178" s="10"/>
      <c r="C178" s="11"/>
      <c r="D178" s="12"/>
      <c r="E178" s="13"/>
      <c r="F178" s="12"/>
      <c r="G178" s="14"/>
    </row>
    <row r="179" spans="1:7" x14ac:dyDescent="0.2">
      <c r="A179" s="9"/>
      <c r="B179" s="10"/>
      <c r="C179" s="11"/>
      <c r="D179" s="12"/>
      <c r="E179" s="13"/>
      <c r="F179" s="12"/>
      <c r="G179" s="14"/>
    </row>
    <row r="180" spans="1:7" x14ac:dyDescent="0.2">
      <c r="A180" s="9"/>
      <c r="B180" s="10"/>
      <c r="C180" s="11"/>
      <c r="D180" s="12"/>
      <c r="E180" s="13"/>
      <c r="F180" s="12"/>
      <c r="G180" s="14"/>
    </row>
    <row r="181" spans="1:7" x14ac:dyDescent="0.2">
      <c r="A181" s="9"/>
      <c r="B181" s="10"/>
      <c r="C181" s="11"/>
      <c r="D181" s="12"/>
      <c r="E181" s="13"/>
      <c r="F181" s="12"/>
      <c r="G181" s="14"/>
    </row>
    <row r="182" spans="1:7" x14ac:dyDescent="0.2">
      <c r="A182" s="9"/>
      <c r="B182" s="10"/>
      <c r="C182" s="11"/>
      <c r="D182" s="12"/>
      <c r="E182" s="13"/>
      <c r="F182" s="12"/>
      <c r="G182" s="14"/>
    </row>
    <row r="183" spans="1:7" x14ac:dyDescent="0.2">
      <c r="A183" s="9"/>
      <c r="B183" s="10"/>
      <c r="C183" s="11"/>
      <c r="D183" s="12"/>
      <c r="E183" s="13"/>
      <c r="F183" s="12"/>
      <c r="G183" s="14"/>
    </row>
    <row r="184" spans="1:7" x14ac:dyDescent="0.2">
      <c r="A184" s="9"/>
      <c r="B184" s="10"/>
      <c r="C184" s="11"/>
      <c r="D184" s="12"/>
      <c r="E184" s="13"/>
      <c r="F184" s="12"/>
      <c r="G184" s="14"/>
    </row>
    <row r="185" spans="1:7" x14ac:dyDescent="0.2">
      <c r="A185" s="9"/>
      <c r="B185" s="10"/>
      <c r="C185" s="11"/>
      <c r="D185" s="12"/>
      <c r="E185" s="13"/>
      <c r="F185" s="12"/>
      <c r="G185" s="14"/>
    </row>
    <row r="186" spans="1:7" x14ac:dyDescent="0.2">
      <c r="A186" s="9"/>
      <c r="B186" s="10"/>
      <c r="C186" s="11"/>
      <c r="D186" s="12"/>
      <c r="E186" s="13"/>
      <c r="F186" s="12"/>
      <c r="G186" s="14"/>
    </row>
    <row r="187" spans="1:7" x14ac:dyDescent="0.2">
      <c r="A187" s="9"/>
      <c r="B187" s="10"/>
      <c r="C187" s="11"/>
      <c r="D187" s="12"/>
      <c r="E187" s="13"/>
      <c r="F187" s="12"/>
      <c r="G187" s="14"/>
    </row>
    <row r="188" spans="1:7" x14ac:dyDescent="0.2">
      <c r="A188" s="9"/>
      <c r="B188" s="10"/>
      <c r="C188" s="11"/>
      <c r="D188" s="12"/>
      <c r="E188" s="13"/>
      <c r="F188" s="12"/>
      <c r="G188" s="14"/>
    </row>
    <row r="189" spans="1:7" x14ac:dyDescent="0.2">
      <c r="A189" s="9"/>
      <c r="B189" s="10"/>
      <c r="C189" s="11"/>
      <c r="D189" s="12"/>
      <c r="E189" s="13"/>
      <c r="F189" s="12"/>
      <c r="G189" s="14"/>
    </row>
    <row r="190" spans="1:7" x14ac:dyDescent="0.2">
      <c r="A190" s="9"/>
      <c r="B190" s="10"/>
      <c r="C190" s="11"/>
      <c r="D190" s="12"/>
      <c r="E190" s="13"/>
      <c r="F190" s="12"/>
      <c r="G190" s="14"/>
    </row>
    <row r="191" spans="1:7" x14ac:dyDescent="0.2">
      <c r="A191" s="9"/>
      <c r="B191" s="10"/>
      <c r="C191" s="11"/>
      <c r="D191" s="12"/>
      <c r="E191" s="13"/>
      <c r="F191" s="12"/>
      <c r="G191" s="14"/>
    </row>
    <row r="192" spans="1:7" x14ac:dyDescent="0.2">
      <c r="A192" s="9"/>
      <c r="B192" s="10"/>
      <c r="C192" s="11"/>
      <c r="D192" s="12"/>
      <c r="E192" s="13"/>
      <c r="F192" s="12"/>
      <c r="G192" s="14"/>
    </row>
    <row r="193" spans="1:7" x14ac:dyDescent="0.2">
      <c r="A193" s="9"/>
      <c r="B193" s="10"/>
      <c r="C193" s="11"/>
      <c r="D193" s="12"/>
      <c r="E193" s="13"/>
      <c r="F193" s="12"/>
      <c r="G193" s="14"/>
    </row>
    <row r="194" spans="1:7" x14ac:dyDescent="0.2">
      <c r="A194" s="9"/>
      <c r="B194" s="10"/>
      <c r="C194" s="11"/>
      <c r="D194" s="12"/>
      <c r="E194" s="13"/>
      <c r="F194" s="12"/>
      <c r="G194" s="14"/>
    </row>
    <row r="195" spans="1:7" x14ac:dyDescent="0.2">
      <c r="A195" s="9"/>
      <c r="B195" s="10"/>
      <c r="C195" s="11"/>
      <c r="D195" s="12"/>
      <c r="E195" s="13"/>
      <c r="F195" s="12"/>
      <c r="G195" s="14"/>
    </row>
    <row r="196" spans="1:7" x14ac:dyDescent="0.2">
      <c r="A196" s="9"/>
      <c r="B196" s="10"/>
      <c r="C196" s="11"/>
      <c r="D196" s="12"/>
      <c r="E196" s="13"/>
      <c r="F196" s="12"/>
      <c r="G196" s="14"/>
    </row>
    <row r="197" spans="1:7" x14ac:dyDescent="0.2">
      <c r="A197" s="9"/>
      <c r="B197" s="10"/>
      <c r="C197" s="11"/>
      <c r="D197" s="12"/>
      <c r="E197" s="13"/>
      <c r="F197" s="12"/>
      <c r="G197" s="14"/>
    </row>
    <row r="198" spans="1:7" x14ac:dyDescent="0.2">
      <c r="A198" s="9"/>
      <c r="B198" s="10"/>
      <c r="C198" s="11"/>
      <c r="D198" s="12"/>
      <c r="E198" s="13"/>
      <c r="F198" s="12"/>
      <c r="G198" s="14"/>
    </row>
    <row r="199" spans="1:7" x14ac:dyDescent="0.2">
      <c r="A199" s="9"/>
      <c r="B199" s="10"/>
      <c r="C199" s="11"/>
      <c r="D199" s="12"/>
      <c r="E199" s="13"/>
      <c r="F199" s="12"/>
      <c r="G199" s="14"/>
    </row>
    <row r="200" spans="1:7" x14ac:dyDescent="0.2">
      <c r="A200" s="9"/>
      <c r="B200" s="10"/>
      <c r="C200" s="11"/>
      <c r="D200" s="12"/>
      <c r="E200" s="13"/>
      <c r="F200" s="12"/>
      <c r="G200" s="14"/>
    </row>
    <row r="201" spans="1:7" x14ac:dyDescent="0.2">
      <c r="A201" s="9"/>
      <c r="B201" s="10"/>
      <c r="C201" s="11"/>
      <c r="D201" s="12"/>
      <c r="E201" s="13"/>
      <c r="F201" s="12"/>
      <c r="G201" s="14"/>
    </row>
    <row r="202" spans="1:7" x14ac:dyDescent="0.2">
      <c r="A202" s="9"/>
      <c r="B202" s="10"/>
      <c r="C202" s="11"/>
      <c r="D202" s="12"/>
      <c r="E202" s="13"/>
      <c r="F202" s="12"/>
      <c r="G202" s="14"/>
    </row>
    <row r="203" spans="1:7" x14ac:dyDescent="0.2">
      <c r="A203" s="9"/>
      <c r="B203" s="10"/>
      <c r="C203" s="11"/>
      <c r="D203" s="12"/>
      <c r="E203" s="13"/>
      <c r="F203" s="12"/>
      <c r="G203" s="14"/>
    </row>
    <row r="204" spans="1:7" x14ac:dyDescent="0.2">
      <c r="A204" s="9"/>
      <c r="B204" s="10"/>
      <c r="C204" s="11"/>
      <c r="D204" s="12"/>
      <c r="E204" s="13"/>
      <c r="F204" s="12"/>
      <c r="G204" s="14"/>
    </row>
    <row r="205" spans="1:7" x14ac:dyDescent="0.2">
      <c r="A205" s="9"/>
      <c r="B205" s="10"/>
      <c r="C205" s="11"/>
      <c r="D205" s="12"/>
      <c r="E205" s="13"/>
      <c r="F205" s="12"/>
      <c r="G205" s="14"/>
    </row>
    <row r="206" spans="1:7" x14ac:dyDescent="0.2">
      <c r="A206" s="9"/>
      <c r="B206" s="10"/>
      <c r="C206" s="11"/>
      <c r="D206" s="12"/>
      <c r="E206" s="13"/>
      <c r="F206" s="12"/>
      <c r="G206" s="14"/>
    </row>
    <row r="207" spans="1:7" x14ac:dyDescent="0.2">
      <c r="A207" s="9"/>
      <c r="B207" s="10"/>
      <c r="C207" s="11"/>
      <c r="D207" s="12"/>
      <c r="E207" s="13"/>
      <c r="F207" s="12"/>
      <c r="G207" s="14"/>
    </row>
    <row r="208" spans="1:7" x14ac:dyDescent="0.2">
      <c r="A208" s="9"/>
      <c r="B208" s="10"/>
      <c r="C208" s="11"/>
      <c r="D208" s="12"/>
      <c r="E208" s="13"/>
      <c r="F208" s="12"/>
      <c r="G208" s="14"/>
    </row>
    <row r="209" spans="1:7" x14ac:dyDescent="0.2">
      <c r="A209" s="9"/>
      <c r="B209" s="10"/>
      <c r="C209" s="11"/>
      <c r="D209" s="12"/>
      <c r="E209" s="13"/>
      <c r="F209" s="12"/>
      <c r="G209" s="14"/>
    </row>
    <row r="210" spans="1:7" x14ac:dyDescent="0.2">
      <c r="A210" s="9"/>
      <c r="B210" s="10"/>
      <c r="C210" s="11"/>
      <c r="D210" s="12"/>
      <c r="E210" s="13"/>
      <c r="F210" s="12"/>
      <c r="G210" s="14"/>
    </row>
    <row r="211" spans="1:7" x14ac:dyDescent="0.2">
      <c r="A211" s="9"/>
      <c r="B211" s="10"/>
      <c r="C211" s="11"/>
      <c r="D211" s="12"/>
      <c r="E211" s="13"/>
      <c r="F211" s="12"/>
      <c r="G211" s="14"/>
    </row>
    <row r="212" spans="1:7" x14ac:dyDescent="0.2">
      <c r="A212" s="9"/>
      <c r="B212" s="10"/>
      <c r="C212" s="11"/>
      <c r="D212" s="12"/>
      <c r="E212" s="13"/>
      <c r="F212" s="12"/>
      <c r="G212" s="14"/>
    </row>
    <row r="213" spans="1:7" x14ac:dyDescent="0.2">
      <c r="A213" s="9"/>
      <c r="B213" s="10"/>
      <c r="C213" s="11"/>
      <c r="D213" s="12"/>
      <c r="E213" s="13"/>
      <c r="F213" s="12"/>
      <c r="G213" s="14"/>
    </row>
    <row r="214" spans="1:7" x14ac:dyDescent="0.2">
      <c r="A214" s="9"/>
      <c r="B214" s="10"/>
      <c r="C214" s="11"/>
      <c r="D214" s="12"/>
      <c r="E214" s="13"/>
      <c r="F214" s="12"/>
      <c r="G214" s="14"/>
    </row>
    <row r="215" spans="1:7" x14ac:dyDescent="0.2">
      <c r="A215" s="9"/>
      <c r="B215" s="10"/>
      <c r="C215" s="11"/>
      <c r="D215" s="12"/>
      <c r="E215" s="13"/>
      <c r="F215" s="12"/>
      <c r="G215" s="14"/>
    </row>
    <row r="216" spans="1:7" x14ac:dyDescent="0.2">
      <c r="A216" s="9"/>
      <c r="B216" s="10"/>
      <c r="C216" s="11"/>
      <c r="D216" s="12"/>
      <c r="E216" s="13"/>
      <c r="F216" s="12"/>
      <c r="G216" s="14"/>
    </row>
    <row r="217" spans="1:7" x14ac:dyDescent="0.2">
      <c r="A217" s="9"/>
      <c r="B217" s="10"/>
      <c r="C217" s="11"/>
      <c r="D217" s="12"/>
      <c r="E217" s="13"/>
      <c r="F217" s="12"/>
      <c r="G217" s="14"/>
    </row>
    <row r="218" spans="1:7" x14ac:dyDescent="0.2">
      <c r="A218" s="9"/>
      <c r="B218" s="10"/>
      <c r="C218" s="11"/>
      <c r="D218" s="12"/>
      <c r="E218" s="13"/>
      <c r="F218" s="12"/>
      <c r="G218" s="14"/>
    </row>
    <row r="219" spans="1:7" x14ac:dyDescent="0.2">
      <c r="A219" s="9"/>
      <c r="B219" s="10"/>
      <c r="C219" s="11"/>
      <c r="D219" s="12"/>
      <c r="E219" s="13"/>
      <c r="F219" s="12"/>
      <c r="G219" s="14"/>
    </row>
    <row r="220" spans="1:7" x14ac:dyDescent="0.2">
      <c r="A220" s="9"/>
      <c r="B220" s="10"/>
      <c r="C220" s="11"/>
      <c r="D220" s="12"/>
      <c r="E220" s="13"/>
      <c r="F220" s="12"/>
      <c r="G220" s="14"/>
    </row>
    <row r="221" spans="1:7" x14ac:dyDescent="0.2">
      <c r="A221" s="9"/>
      <c r="B221" s="10"/>
      <c r="C221" s="11"/>
      <c r="D221" s="12"/>
      <c r="E221" s="13"/>
      <c r="F221" s="12"/>
      <c r="G221" s="14"/>
    </row>
    <row r="222" spans="1:7" x14ac:dyDescent="0.2">
      <c r="A222" s="9"/>
      <c r="B222" s="10"/>
      <c r="C222" s="11"/>
      <c r="D222" s="12"/>
      <c r="E222" s="13"/>
      <c r="F222" s="12"/>
      <c r="G222" s="14"/>
    </row>
    <row r="223" spans="1:7" x14ac:dyDescent="0.2">
      <c r="A223" s="9"/>
      <c r="B223" s="10"/>
      <c r="C223" s="11"/>
      <c r="D223" s="12"/>
      <c r="E223" s="13"/>
      <c r="F223" s="12"/>
      <c r="G223" s="14"/>
    </row>
    <row r="224" spans="1:7" x14ac:dyDescent="0.2">
      <c r="A224" s="9"/>
      <c r="B224" s="10"/>
      <c r="C224" s="11"/>
      <c r="D224" s="12"/>
      <c r="E224" s="13"/>
      <c r="F224" s="12"/>
      <c r="G224" s="14"/>
    </row>
    <row r="225" spans="1:7" x14ac:dyDescent="0.2">
      <c r="A225" s="9"/>
      <c r="B225" s="10"/>
      <c r="C225" s="11"/>
      <c r="D225" s="12"/>
      <c r="E225" s="13"/>
      <c r="F225" s="12"/>
      <c r="G225" s="14"/>
    </row>
    <row r="226" spans="1:7" x14ac:dyDescent="0.2">
      <c r="A226" s="9"/>
      <c r="B226" s="10"/>
      <c r="C226" s="11"/>
      <c r="D226" s="12"/>
      <c r="E226" s="13"/>
      <c r="F226" s="12"/>
      <c r="G226" s="14"/>
    </row>
    <row r="227" spans="1:7" x14ac:dyDescent="0.2">
      <c r="A227" s="9"/>
      <c r="B227" s="10"/>
      <c r="C227" s="11"/>
      <c r="D227" s="12"/>
      <c r="E227" s="13"/>
      <c r="F227" s="12"/>
      <c r="G227" s="14"/>
    </row>
    <row r="228" spans="1:7" x14ac:dyDescent="0.2">
      <c r="A228" s="9"/>
      <c r="B228" s="10"/>
      <c r="C228" s="11"/>
      <c r="D228" s="12"/>
      <c r="E228" s="13"/>
      <c r="F228" s="12"/>
      <c r="G228" s="14"/>
    </row>
    <row r="229" spans="1:7" x14ac:dyDescent="0.2">
      <c r="A229" s="9"/>
      <c r="B229" s="10"/>
      <c r="C229" s="11"/>
      <c r="D229" s="12"/>
      <c r="E229" s="13"/>
      <c r="F229" s="12"/>
      <c r="G229" s="14"/>
    </row>
    <row r="230" spans="1:7" x14ac:dyDescent="0.2">
      <c r="A230" s="9"/>
      <c r="B230" s="10"/>
      <c r="C230" s="11"/>
      <c r="D230" s="12"/>
      <c r="E230" s="13"/>
      <c r="F230" s="12"/>
      <c r="G230" s="14"/>
    </row>
    <row r="231" spans="1:7" x14ac:dyDescent="0.2">
      <c r="A231" s="9"/>
      <c r="B231" s="10"/>
      <c r="C231" s="11"/>
      <c r="D231" s="12"/>
      <c r="E231" s="13"/>
      <c r="F231" s="12"/>
      <c r="G231" s="14"/>
    </row>
    <row r="232" spans="1:7" x14ac:dyDescent="0.2">
      <c r="A232" s="9"/>
      <c r="B232" s="10"/>
      <c r="C232" s="11"/>
      <c r="D232" s="12"/>
      <c r="E232" s="13"/>
      <c r="F232" s="12"/>
      <c r="G232" s="14"/>
    </row>
    <row r="233" spans="1:7" x14ac:dyDescent="0.2">
      <c r="A233" s="9"/>
      <c r="B233" s="10"/>
      <c r="C233" s="11"/>
      <c r="D233" s="12"/>
      <c r="E233" s="13"/>
      <c r="F233" s="12"/>
      <c r="G233" s="14"/>
    </row>
    <row r="234" spans="1:7" x14ac:dyDescent="0.2">
      <c r="A234" s="9"/>
      <c r="B234" s="10"/>
      <c r="C234" s="11"/>
      <c r="D234" s="12"/>
      <c r="E234" s="13"/>
      <c r="F234" s="12"/>
      <c r="G234" s="14"/>
    </row>
    <row r="235" spans="1:7" x14ac:dyDescent="0.2">
      <c r="A235" s="9"/>
      <c r="B235" s="10"/>
      <c r="C235" s="11"/>
      <c r="D235" s="12"/>
      <c r="E235" s="13"/>
      <c r="F235" s="12"/>
      <c r="G235" s="14"/>
    </row>
    <row r="236" spans="1:7" x14ac:dyDescent="0.2">
      <c r="A236" s="9"/>
      <c r="B236" s="10"/>
      <c r="C236" s="11"/>
      <c r="D236" s="12"/>
      <c r="E236" s="13"/>
      <c r="F236" s="12"/>
      <c r="G236" s="14"/>
    </row>
    <row r="237" spans="1:7" x14ac:dyDescent="0.2">
      <c r="A237" s="9"/>
      <c r="B237" s="10"/>
      <c r="C237" s="11"/>
      <c r="D237" s="12"/>
      <c r="E237" s="13"/>
      <c r="F237" s="12"/>
      <c r="G237" s="14"/>
    </row>
    <row r="238" spans="1:7" x14ac:dyDescent="0.2">
      <c r="A238" s="9"/>
      <c r="B238" s="10"/>
      <c r="C238" s="11"/>
      <c r="D238" s="12"/>
      <c r="E238" s="13"/>
      <c r="F238" s="12"/>
      <c r="G238" s="14"/>
    </row>
    <row r="239" spans="1:7" x14ac:dyDescent="0.2">
      <c r="A239" s="9"/>
      <c r="B239" s="10"/>
      <c r="C239" s="11"/>
      <c r="D239" s="12"/>
      <c r="E239" s="13"/>
      <c r="F239" s="12"/>
      <c r="G239" s="14"/>
    </row>
    <row r="240" spans="1:7" x14ac:dyDescent="0.2">
      <c r="A240" s="9"/>
      <c r="B240" s="10"/>
      <c r="C240" s="11"/>
      <c r="D240" s="12"/>
      <c r="E240" s="13"/>
      <c r="F240" s="12"/>
      <c r="G240" s="14"/>
    </row>
    <row r="241" spans="1:7" x14ac:dyDescent="0.2">
      <c r="A241" s="9"/>
      <c r="B241" s="10"/>
      <c r="C241" s="11"/>
      <c r="D241" s="12"/>
      <c r="E241" s="13"/>
      <c r="F241" s="12"/>
      <c r="G241" s="14"/>
    </row>
    <row r="242" spans="1:7" x14ac:dyDescent="0.2">
      <c r="A242" s="9"/>
      <c r="B242" s="10"/>
      <c r="C242" s="11"/>
      <c r="D242" s="12"/>
      <c r="E242" s="13"/>
      <c r="F242" s="12"/>
      <c r="G242" s="14"/>
    </row>
    <row r="243" spans="1:7" x14ac:dyDescent="0.2">
      <c r="A243" s="9"/>
      <c r="B243" s="10"/>
      <c r="C243" s="11"/>
      <c r="D243" s="12"/>
      <c r="E243" s="13"/>
      <c r="F243" s="12"/>
      <c r="G243" s="14"/>
    </row>
    <row r="244" spans="1:7" x14ac:dyDescent="0.2">
      <c r="A244" s="9"/>
      <c r="B244" s="10"/>
      <c r="C244" s="11"/>
      <c r="D244" s="12"/>
      <c r="E244" s="13"/>
      <c r="F244" s="12"/>
      <c r="G244" s="14"/>
    </row>
    <row r="245" spans="1:7" x14ac:dyDescent="0.2">
      <c r="A245" s="9"/>
      <c r="B245" s="10"/>
      <c r="C245" s="11"/>
      <c r="D245" s="12"/>
      <c r="E245" s="13"/>
      <c r="F245" s="12"/>
      <c r="G245" s="14"/>
    </row>
    <row r="246" spans="1:7" x14ac:dyDescent="0.2">
      <c r="A246" s="9"/>
      <c r="B246" s="10"/>
      <c r="C246" s="11"/>
      <c r="D246" s="12"/>
      <c r="E246" s="13"/>
      <c r="F246" s="12"/>
      <c r="G246" s="14"/>
    </row>
    <row r="247" spans="1:7" x14ac:dyDescent="0.2">
      <c r="A247" s="9"/>
      <c r="B247" s="10"/>
      <c r="C247" s="11"/>
      <c r="D247" s="12"/>
      <c r="E247" s="13"/>
      <c r="F247" s="12"/>
      <c r="G247" s="14"/>
    </row>
    <row r="248" spans="1:7" x14ac:dyDescent="0.2">
      <c r="A248" s="9"/>
      <c r="B248" s="10"/>
      <c r="C248" s="11"/>
      <c r="D248" s="12"/>
      <c r="E248" s="13"/>
      <c r="F248" s="12"/>
      <c r="G248" s="14"/>
    </row>
    <row r="249" spans="1:7" x14ac:dyDescent="0.2">
      <c r="A249" s="9"/>
      <c r="B249" s="10"/>
      <c r="C249" s="11"/>
      <c r="D249" s="12"/>
      <c r="E249" s="13"/>
      <c r="F249" s="12"/>
      <c r="G249" s="14"/>
    </row>
    <row r="250" spans="1:7" x14ac:dyDescent="0.2">
      <c r="A250" s="9"/>
      <c r="B250" s="10"/>
      <c r="C250" s="11"/>
      <c r="D250" s="12"/>
      <c r="E250" s="13"/>
      <c r="F250" s="12"/>
      <c r="G250" s="14"/>
    </row>
    <row r="251" spans="1:7" x14ac:dyDescent="0.2">
      <c r="A251" s="9"/>
      <c r="B251" s="10"/>
      <c r="C251" s="11"/>
      <c r="D251" s="12"/>
      <c r="E251" s="13"/>
      <c r="F251" s="12"/>
      <c r="G251" s="14"/>
    </row>
    <row r="252" spans="1:7" x14ac:dyDescent="0.2">
      <c r="A252" s="9"/>
      <c r="B252" s="10"/>
      <c r="C252" s="11"/>
      <c r="D252" s="12"/>
      <c r="E252" s="13"/>
      <c r="F252" s="12"/>
      <c r="G252" s="14"/>
    </row>
    <row r="253" spans="1:7" x14ac:dyDescent="0.2">
      <c r="A253" s="9"/>
      <c r="B253" s="10"/>
      <c r="C253" s="11"/>
      <c r="D253" s="12"/>
      <c r="E253" s="13"/>
      <c r="F253" s="12"/>
      <c r="G253" s="14"/>
    </row>
    <row r="254" spans="1:7" x14ac:dyDescent="0.2">
      <c r="A254" s="9"/>
      <c r="B254" s="10"/>
      <c r="C254" s="11"/>
      <c r="D254" s="12"/>
      <c r="E254" s="13"/>
      <c r="F254" s="12"/>
      <c r="G254" s="14"/>
    </row>
    <row r="255" spans="1:7" x14ac:dyDescent="0.2">
      <c r="A255" s="9"/>
      <c r="B255" s="10"/>
      <c r="C255" s="11"/>
      <c r="D255" s="12"/>
      <c r="E255" s="13"/>
      <c r="F255" s="12"/>
      <c r="G255" s="14"/>
    </row>
    <row r="256" spans="1:7" x14ac:dyDescent="0.2">
      <c r="A256" s="9"/>
      <c r="B256" s="10"/>
      <c r="C256" s="11"/>
      <c r="D256" s="12"/>
      <c r="E256" s="13"/>
      <c r="F256" s="12"/>
      <c r="G256" s="14"/>
    </row>
    <row r="257" spans="1:7" x14ac:dyDescent="0.2">
      <c r="A257" s="9"/>
      <c r="B257" s="10"/>
      <c r="C257" s="11"/>
      <c r="D257" s="12"/>
      <c r="E257" s="13"/>
      <c r="F257" s="12"/>
      <c r="G257" s="14"/>
    </row>
    <row r="258" spans="1:7" x14ac:dyDescent="0.2">
      <c r="A258" s="9"/>
      <c r="B258" s="10"/>
      <c r="C258" s="11"/>
      <c r="D258" s="12"/>
      <c r="E258" s="13"/>
      <c r="F258" s="12"/>
      <c r="G258" s="14"/>
    </row>
    <row r="259" spans="1:7" x14ac:dyDescent="0.2">
      <c r="A259" s="9"/>
      <c r="B259" s="10"/>
      <c r="C259" s="11"/>
      <c r="D259" s="12"/>
      <c r="E259" s="13"/>
      <c r="F259" s="12"/>
      <c r="G259" s="14"/>
    </row>
    <row r="260" spans="1:7" x14ac:dyDescent="0.2">
      <c r="A260" s="9"/>
      <c r="B260" s="10"/>
      <c r="C260" s="11"/>
      <c r="D260" s="12"/>
      <c r="E260" s="13"/>
      <c r="F260" s="12"/>
      <c r="G260" s="14"/>
    </row>
    <row r="261" spans="1:7" x14ac:dyDescent="0.2">
      <c r="A261" s="9"/>
      <c r="B261" s="10"/>
      <c r="C261" s="11"/>
      <c r="D261" s="12"/>
      <c r="E261" s="13"/>
      <c r="F261" s="12"/>
      <c r="G261" s="14"/>
    </row>
    <row r="262" spans="1:7" ht="13.5" thickBot="1" x14ac:dyDescent="0.25">
      <c r="A262" s="15"/>
      <c r="B262" s="16"/>
      <c r="C262" s="17"/>
      <c r="D262" s="18"/>
      <c r="E262" s="19"/>
      <c r="F262" s="18"/>
      <c r="G262" s="20"/>
    </row>
    <row r="263" spans="1:7" x14ac:dyDescent="0.2">
      <c r="A263" s="1"/>
      <c r="B263" s="1"/>
      <c r="C263" s="1"/>
      <c r="D263" s="1"/>
      <c r="E263" s="1"/>
      <c r="F263" s="1"/>
      <c r="G263" s="1"/>
    </row>
    <row r="264" spans="1:7" x14ac:dyDescent="0.2">
      <c r="A264" s="1"/>
      <c r="B264" s="1"/>
      <c r="C264" s="1"/>
      <c r="D264" s="1"/>
      <c r="E264" s="1"/>
      <c r="F264" s="1"/>
      <c r="G264" s="1"/>
    </row>
    <row r="265" spans="1:7" x14ac:dyDescent="0.2">
      <c r="A265" s="1"/>
      <c r="B265" s="1"/>
      <c r="C265" s="1"/>
      <c r="D265" s="1"/>
      <c r="E265" s="1"/>
      <c r="F265" s="1"/>
      <c r="G265" s="1"/>
    </row>
    <row r="266" spans="1:7" x14ac:dyDescent="0.2">
      <c r="A266" s="1"/>
      <c r="B266" s="1"/>
      <c r="C266" s="1"/>
      <c r="D266" s="1"/>
      <c r="E266" s="1"/>
      <c r="F266" s="1"/>
      <c r="G266" s="1"/>
    </row>
    <row r="267" spans="1:7" x14ac:dyDescent="0.2">
      <c r="A267" s="21"/>
      <c r="B267" s="21"/>
      <c r="C267" s="21"/>
      <c r="D267" s="21"/>
      <c r="E267" s="21"/>
      <c r="F267" s="21"/>
      <c r="G267" s="21"/>
    </row>
    <row r="268" spans="1:7" x14ac:dyDescent="0.2">
      <c r="A268" s="21"/>
      <c r="B268" s="21"/>
      <c r="C268" s="21"/>
      <c r="D268" s="21"/>
      <c r="E268" s="21"/>
      <c r="F268" s="21"/>
      <c r="G268" s="21"/>
    </row>
    <row r="269" spans="1:7" x14ac:dyDescent="0.2">
      <c r="A269" s="21"/>
      <c r="B269" s="21"/>
      <c r="C269" s="21"/>
      <c r="D269" s="21"/>
      <c r="E269" s="21"/>
      <c r="F269" s="21"/>
      <c r="G269" s="21"/>
    </row>
    <row r="270" spans="1:7" x14ac:dyDescent="0.2">
      <c r="A270" s="21"/>
      <c r="B270" s="21"/>
      <c r="C270" s="21"/>
      <c r="D270" s="21"/>
      <c r="E270" s="21"/>
      <c r="F270" s="21"/>
      <c r="G270" s="21"/>
    </row>
    <row r="271" spans="1:7" x14ac:dyDescent="0.2">
      <c r="A271" s="21"/>
      <c r="B271" s="21"/>
      <c r="C271" s="21"/>
      <c r="D271" s="21"/>
      <c r="E271" s="21"/>
      <c r="F271" s="21"/>
      <c r="G271" s="21"/>
    </row>
  </sheetData>
  <sortState ref="A4:G271">
    <sortCondition descending="1" ref="E4"/>
    <sortCondition ref="F4"/>
  </sortState>
  <mergeCells count="1">
    <mergeCell ref="A1:G1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G271"/>
  <sheetViews>
    <sheetView workbookViewId="0">
      <selection activeCell="F17" sqref="F17"/>
    </sheetView>
  </sheetViews>
  <sheetFormatPr baseColWidth="10" defaultRowHeight="12.75" x14ac:dyDescent="0.2"/>
  <cols>
    <col min="2" max="2" width="15.7109375" bestFit="1" customWidth="1"/>
    <col min="3" max="3" width="24" customWidth="1"/>
    <col min="4" max="4" width="8.28515625" customWidth="1"/>
    <col min="5" max="6" width="16.7109375" customWidth="1"/>
    <col min="7" max="7" width="15.28515625" customWidth="1"/>
  </cols>
  <sheetData>
    <row r="1" spans="1:7" ht="13.5" thickBot="1" x14ac:dyDescent="0.25">
      <c r="A1" s="2" t="s">
        <v>1</v>
      </c>
      <c r="B1" s="3" t="s">
        <v>2</v>
      </c>
      <c r="C1" s="4" t="s">
        <v>3</v>
      </c>
      <c r="D1" s="5" t="s">
        <v>4</v>
      </c>
      <c r="E1" s="6" t="s">
        <v>5</v>
      </c>
      <c r="F1" s="5" t="s">
        <v>6</v>
      </c>
      <c r="G1" s="7" t="s">
        <v>7</v>
      </c>
    </row>
    <row r="2" spans="1:7" x14ac:dyDescent="0.2">
      <c r="A2" s="51">
        <v>1</v>
      </c>
      <c r="B2" s="55" t="s">
        <v>106</v>
      </c>
      <c r="C2" s="50">
        <v>16</v>
      </c>
      <c r="D2" s="57">
        <v>1766</v>
      </c>
      <c r="E2" s="60">
        <v>0.82718074924801754</v>
      </c>
      <c r="F2" s="57">
        <v>219.65899999999996</v>
      </c>
      <c r="G2" s="58" t="s">
        <v>107</v>
      </c>
    </row>
    <row r="3" spans="1:7" x14ac:dyDescent="0.2">
      <c r="A3" s="53">
        <v>2</v>
      </c>
      <c r="B3" s="52" t="s">
        <v>108</v>
      </c>
      <c r="C3" s="54">
        <v>16</v>
      </c>
      <c r="D3" s="56">
        <v>1448</v>
      </c>
      <c r="E3" s="61">
        <v>0.74022422750888706</v>
      </c>
      <c r="F3" s="56">
        <v>261.86900000000003</v>
      </c>
      <c r="G3" s="59" t="s">
        <v>107</v>
      </c>
    </row>
    <row r="4" spans="1:7" x14ac:dyDescent="0.2">
      <c r="A4" s="53">
        <v>3</v>
      </c>
      <c r="B4" s="52" t="s">
        <v>119</v>
      </c>
      <c r="C4" s="54">
        <v>16</v>
      </c>
      <c r="D4" s="56">
        <v>1309</v>
      </c>
      <c r="E4" s="61">
        <v>0.70221493027071369</v>
      </c>
      <c r="F4" s="56">
        <v>364.58100000000002</v>
      </c>
      <c r="G4" s="59" t="s">
        <v>107</v>
      </c>
    </row>
    <row r="5" spans="1:7" x14ac:dyDescent="0.2">
      <c r="A5" s="53">
        <v>4</v>
      </c>
      <c r="B5" s="52" t="s">
        <v>109</v>
      </c>
      <c r="C5" s="54">
        <v>16</v>
      </c>
      <c r="D5" s="56">
        <v>1286</v>
      </c>
      <c r="E5" s="61">
        <v>0.69592562209461306</v>
      </c>
      <c r="F5" s="56">
        <v>347.29499999999996</v>
      </c>
      <c r="G5" s="59" t="s">
        <v>107</v>
      </c>
    </row>
    <row r="6" spans="1:7" x14ac:dyDescent="0.2">
      <c r="A6" s="53">
        <v>5</v>
      </c>
      <c r="B6" s="52" t="s">
        <v>135</v>
      </c>
      <c r="C6" s="54">
        <v>16</v>
      </c>
      <c r="D6" s="56">
        <v>1284</v>
      </c>
      <c r="E6" s="61">
        <v>0.69537872573147386</v>
      </c>
      <c r="F6" s="56">
        <v>266.89400000000001</v>
      </c>
      <c r="G6" s="59" t="s">
        <v>107</v>
      </c>
    </row>
    <row r="7" spans="1:7" x14ac:dyDescent="0.2">
      <c r="A7" s="53">
        <v>6</v>
      </c>
      <c r="B7" s="52" t="s">
        <v>8</v>
      </c>
      <c r="C7" s="54">
        <v>16</v>
      </c>
      <c r="D7" s="56">
        <v>1272</v>
      </c>
      <c r="E7" s="61">
        <v>0.69209734755263874</v>
      </c>
      <c r="F7" s="56">
        <v>152.37700000000001</v>
      </c>
      <c r="G7" s="59" t="s">
        <v>9</v>
      </c>
    </row>
    <row r="8" spans="1:7" x14ac:dyDescent="0.2">
      <c r="A8" s="53">
        <v>7</v>
      </c>
      <c r="B8" s="52" t="s">
        <v>75</v>
      </c>
      <c r="C8" s="54">
        <v>16</v>
      </c>
      <c r="D8" s="56">
        <v>2029.0208333333333</v>
      </c>
      <c r="E8" s="61">
        <v>0.68908236371471654</v>
      </c>
      <c r="F8" s="56">
        <v>129.76199999999997</v>
      </c>
      <c r="G8" s="59" t="s">
        <v>65</v>
      </c>
    </row>
    <row r="9" spans="1:7" x14ac:dyDescent="0.2">
      <c r="A9" s="53">
        <v>8</v>
      </c>
      <c r="B9" s="52" t="s">
        <v>184</v>
      </c>
      <c r="C9" s="54">
        <v>16</v>
      </c>
      <c r="D9" s="56">
        <v>1174.5</v>
      </c>
      <c r="E9" s="61">
        <v>0.66543614984960353</v>
      </c>
      <c r="F9" s="56">
        <v>193.29500000000002</v>
      </c>
      <c r="G9" s="59" t="s">
        <v>107</v>
      </c>
    </row>
    <row r="10" spans="1:7" x14ac:dyDescent="0.2">
      <c r="A10" s="53">
        <v>9</v>
      </c>
      <c r="B10" s="52" t="s">
        <v>81</v>
      </c>
      <c r="C10" s="54">
        <v>16</v>
      </c>
      <c r="D10" s="56">
        <v>1926.0972222222222</v>
      </c>
      <c r="E10" s="61">
        <v>0.6558168139050492</v>
      </c>
      <c r="F10" s="56">
        <v>37.769999999999996</v>
      </c>
      <c r="G10" s="59" t="s">
        <v>65</v>
      </c>
    </row>
    <row r="11" spans="1:7" x14ac:dyDescent="0.2">
      <c r="A11" s="53">
        <v>10</v>
      </c>
      <c r="B11" s="52" t="s">
        <v>112</v>
      </c>
      <c r="C11" s="54">
        <v>16</v>
      </c>
      <c r="D11" s="56">
        <v>1084.5</v>
      </c>
      <c r="E11" s="61">
        <v>0.64082581350834011</v>
      </c>
      <c r="F11" s="56">
        <v>506.27199999999993</v>
      </c>
      <c r="G11" s="59" t="s">
        <v>107</v>
      </c>
    </row>
    <row r="12" spans="1:7" x14ac:dyDescent="0.2">
      <c r="A12" s="53">
        <v>11</v>
      </c>
      <c r="B12" s="52" t="s">
        <v>24</v>
      </c>
      <c r="C12" s="54">
        <v>16</v>
      </c>
      <c r="D12" s="56">
        <v>1043</v>
      </c>
      <c r="E12" s="61">
        <v>0.62947771397320207</v>
      </c>
      <c r="F12" s="56">
        <v>149.71600000000001</v>
      </c>
      <c r="G12" s="59" t="s">
        <v>9</v>
      </c>
    </row>
    <row r="13" spans="1:7" x14ac:dyDescent="0.2">
      <c r="A13" s="53">
        <v>12</v>
      </c>
      <c r="B13" s="52" t="s">
        <v>175</v>
      </c>
      <c r="C13" s="54">
        <v>16</v>
      </c>
      <c r="D13" s="56">
        <v>977</v>
      </c>
      <c r="E13" s="61">
        <v>0.61143013398960899</v>
      </c>
      <c r="F13" s="56">
        <v>160.95199999999997</v>
      </c>
      <c r="G13" s="59" t="s">
        <v>9</v>
      </c>
    </row>
    <row r="14" spans="1:7" x14ac:dyDescent="0.2">
      <c r="A14" s="53">
        <v>13</v>
      </c>
      <c r="B14" s="52" t="s">
        <v>12</v>
      </c>
      <c r="C14" s="54">
        <v>16</v>
      </c>
      <c r="D14" s="56">
        <v>976.5</v>
      </c>
      <c r="E14" s="61">
        <v>0.61129340989882419</v>
      </c>
      <c r="F14" s="56">
        <v>130.517</v>
      </c>
      <c r="G14" s="59" t="s">
        <v>9</v>
      </c>
    </row>
    <row r="15" spans="1:7" x14ac:dyDescent="0.2">
      <c r="A15" s="53">
        <v>14</v>
      </c>
      <c r="B15" s="52" t="s">
        <v>187</v>
      </c>
      <c r="C15" s="54">
        <v>16</v>
      </c>
      <c r="D15" s="56">
        <v>964</v>
      </c>
      <c r="E15" s="61">
        <v>0.60787530762920428</v>
      </c>
      <c r="F15" s="56">
        <v>535.90099999999995</v>
      </c>
      <c r="G15" s="59" t="s">
        <v>107</v>
      </c>
    </row>
    <row r="16" spans="1:7" x14ac:dyDescent="0.2">
      <c r="A16" s="53">
        <v>15</v>
      </c>
      <c r="B16" s="52" t="s">
        <v>67</v>
      </c>
      <c r="C16" s="54">
        <v>16</v>
      </c>
      <c r="D16" s="56">
        <v>1774.4479166666667</v>
      </c>
      <c r="E16" s="61">
        <v>0.60680281728075847</v>
      </c>
      <c r="F16" s="56">
        <v>85.048000000000002</v>
      </c>
      <c r="G16" s="59" t="s">
        <v>65</v>
      </c>
    </row>
    <row r="17" spans="1:7" x14ac:dyDescent="0.2">
      <c r="A17" s="53">
        <v>16</v>
      </c>
      <c r="B17" s="52" t="s">
        <v>116</v>
      </c>
      <c r="C17" s="54">
        <v>16</v>
      </c>
      <c r="D17" s="56">
        <v>946.5</v>
      </c>
      <c r="E17" s="61">
        <v>0.60308996445173635</v>
      </c>
      <c r="F17" s="56">
        <v>431.755</v>
      </c>
      <c r="G17" s="59" t="s">
        <v>107</v>
      </c>
    </row>
    <row r="18" spans="1:7" x14ac:dyDescent="0.2">
      <c r="A18" s="53">
        <v>17</v>
      </c>
      <c r="B18" s="52" t="s">
        <v>13</v>
      </c>
      <c r="C18" s="54">
        <v>16</v>
      </c>
      <c r="D18" s="56">
        <v>903</v>
      </c>
      <c r="E18" s="61">
        <v>0.5911949685534591</v>
      </c>
      <c r="F18" s="56">
        <v>215.32300000000001</v>
      </c>
      <c r="G18" s="59" t="s">
        <v>9</v>
      </c>
    </row>
    <row r="19" spans="1:7" x14ac:dyDescent="0.2">
      <c r="A19" s="53">
        <v>18</v>
      </c>
      <c r="B19" s="52" t="s">
        <v>110</v>
      </c>
      <c r="C19" s="54">
        <v>16</v>
      </c>
      <c r="D19" s="56">
        <v>874.5</v>
      </c>
      <c r="E19" s="61">
        <v>0.58340169537872577</v>
      </c>
      <c r="F19" s="56">
        <v>225.41500000000002</v>
      </c>
      <c r="G19" s="59" t="s">
        <v>107</v>
      </c>
    </row>
    <row r="20" spans="1:7" x14ac:dyDescent="0.2">
      <c r="A20" s="53">
        <v>19</v>
      </c>
      <c r="B20" s="52" t="s">
        <v>91</v>
      </c>
      <c r="C20" s="54">
        <v>16</v>
      </c>
      <c r="D20" s="56">
        <v>1695.1666666666667</v>
      </c>
      <c r="E20" s="61">
        <v>0.5811786252962724</v>
      </c>
      <c r="F20" s="56">
        <v>71.171999999999983</v>
      </c>
      <c r="G20" s="59" t="s">
        <v>65</v>
      </c>
    </row>
    <row r="21" spans="1:7" x14ac:dyDescent="0.2">
      <c r="A21" s="53">
        <v>20</v>
      </c>
      <c r="B21" s="52" t="s">
        <v>121</v>
      </c>
      <c r="C21" s="54">
        <v>16</v>
      </c>
      <c r="D21" s="56">
        <v>849.5</v>
      </c>
      <c r="E21" s="61">
        <v>0.57656549083948594</v>
      </c>
      <c r="F21" s="56">
        <v>105.976</v>
      </c>
      <c r="G21" s="59" t="s">
        <v>107</v>
      </c>
    </row>
    <row r="22" spans="1:7" x14ac:dyDescent="0.2">
      <c r="A22" s="53">
        <v>21</v>
      </c>
      <c r="B22" s="52" t="s">
        <v>14</v>
      </c>
      <c r="C22" s="54">
        <v>16</v>
      </c>
      <c r="D22" s="56">
        <v>834</v>
      </c>
      <c r="E22" s="61">
        <v>0.57232704402515722</v>
      </c>
      <c r="F22" s="56">
        <v>224.761</v>
      </c>
      <c r="G22" s="59" t="s">
        <v>9</v>
      </c>
    </row>
    <row r="23" spans="1:7" x14ac:dyDescent="0.2">
      <c r="A23" s="53">
        <v>22</v>
      </c>
      <c r="B23" s="52" t="s">
        <v>68</v>
      </c>
      <c r="C23" s="54">
        <v>16</v>
      </c>
      <c r="D23" s="56">
        <v>1664.6163194444446</v>
      </c>
      <c r="E23" s="61">
        <v>0.57130456349206349</v>
      </c>
      <c r="F23" s="56">
        <v>44.166000000000004</v>
      </c>
      <c r="G23" s="59" t="s">
        <v>65</v>
      </c>
    </row>
    <row r="24" spans="1:7" x14ac:dyDescent="0.2">
      <c r="A24" s="53">
        <v>23</v>
      </c>
      <c r="B24" s="52" t="s">
        <v>104</v>
      </c>
      <c r="C24" s="54">
        <v>16</v>
      </c>
      <c r="D24" s="56">
        <v>1655.0364583333335</v>
      </c>
      <c r="E24" s="61">
        <v>0.5682082929325577</v>
      </c>
      <c r="F24" s="56">
        <v>112.566</v>
      </c>
      <c r="G24" s="59" t="s">
        <v>65</v>
      </c>
    </row>
    <row r="25" spans="1:7" x14ac:dyDescent="0.2">
      <c r="A25" s="53">
        <v>24</v>
      </c>
      <c r="B25" s="52" t="s">
        <v>56</v>
      </c>
      <c r="C25" s="54">
        <v>16</v>
      </c>
      <c r="D25" s="56">
        <v>813</v>
      </c>
      <c r="E25" s="61">
        <v>0.56658463221219579</v>
      </c>
      <c r="F25" s="56">
        <v>73.529000000000011</v>
      </c>
      <c r="G25" s="59" t="s">
        <v>9</v>
      </c>
    </row>
    <row r="26" spans="1:7" x14ac:dyDescent="0.2">
      <c r="A26" s="53">
        <v>25</v>
      </c>
      <c r="B26" s="52" t="s">
        <v>16</v>
      </c>
      <c r="C26" s="54">
        <v>16</v>
      </c>
      <c r="D26" s="56">
        <v>810</v>
      </c>
      <c r="E26" s="61">
        <v>0.56576428766748699</v>
      </c>
      <c r="F26" s="56">
        <v>170.49099999999999</v>
      </c>
      <c r="G26" s="59" t="s">
        <v>9</v>
      </c>
    </row>
    <row r="27" spans="1:7" x14ac:dyDescent="0.2">
      <c r="A27" s="53">
        <v>26</v>
      </c>
      <c r="B27" s="52" t="s">
        <v>95</v>
      </c>
      <c r="C27" s="54">
        <v>16</v>
      </c>
      <c r="D27" s="56">
        <v>1616.65625</v>
      </c>
      <c r="E27" s="61">
        <v>0.5558035714285714</v>
      </c>
      <c r="F27" s="56">
        <v>107.941</v>
      </c>
      <c r="G27" s="59" t="s">
        <v>65</v>
      </c>
    </row>
    <row r="28" spans="1:7" x14ac:dyDescent="0.2">
      <c r="A28" s="53">
        <v>27</v>
      </c>
      <c r="B28" s="52" t="s">
        <v>126</v>
      </c>
      <c r="C28" s="54">
        <v>16</v>
      </c>
      <c r="D28" s="56">
        <v>769</v>
      </c>
      <c r="E28" s="61">
        <v>0.55455291222313374</v>
      </c>
      <c r="F28" s="56">
        <v>331.197</v>
      </c>
      <c r="G28" s="59" t="s">
        <v>107</v>
      </c>
    </row>
    <row r="29" spans="1:7" x14ac:dyDescent="0.2">
      <c r="A29" s="53">
        <v>28</v>
      </c>
      <c r="B29" s="52" t="s">
        <v>130</v>
      </c>
      <c r="C29" s="54">
        <v>16</v>
      </c>
      <c r="D29" s="56">
        <v>764</v>
      </c>
      <c r="E29" s="61">
        <v>0.55318567131528573</v>
      </c>
      <c r="F29" s="56">
        <v>155.60000000000002</v>
      </c>
      <c r="G29" s="59" t="s">
        <v>107</v>
      </c>
    </row>
    <row r="30" spans="1:7" x14ac:dyDescent="0.2">
      <c r="A30" s="53">
        <v>29</v>
      </c>
      <c r="B30" s="52" t="s">
        <v>72</v>
      </c>
      <c r="C30" s="54">
        <v>16</v>
      </c>
      <c r="D30" s="56">
        <v>1605.7934027777778</v>
      </c>
      <c r="E30" s="61">
        <v>0.55229263179630828</v>
      </c>
      <c r="F30" s="56">
        <v>132.97499999999999</v>
      </c>
      <c r="G30" s="59" t="s">
        <v>65</v>
      </c>
    </row>
    <row r="31" spans="1:7" x14ac:dyDescent="0.2">
      <c r="A31" s="53">
        <v>30</v>
      </c>
      <c r="B31" s="52" t="s">
        <v>100</v>
      </c>
      <c r="C31" s="54">
        <v>16</v>
      </c>
      <c r="D31" s="56">
        <v>1594.1927083333335</v>
      </c>
      <c r="E31" s="61">
        <v>0.54854321536306838</v>
      </c>
      <c r="F31" s="56">
        <v>115.53699999999999</v>
      </c>
      <c r="G31" s="59" t="s">
        <v>65</v>
      </c>
    </row>
    <row r="32" spans="1:7" x14ac:dyDescent="0.2">
      <c r="A32" s="53">
        <v>31</v>
      </c>
      <c r="B32" s="52" t="s">
        <v>114</v>
      </c>
      <c r="C32" s="54">
        <v>16</v>
      </c>
      <c r="D32" s="56">
        <v>724</v>
      </c>
      <c r="E32" s="61">
        <v>0.54224774405250209</v>
      </c>
      <c r="F32" s="56">
        <v>141.90000000000003</v>
      </c>
      <c r="G32" s="59" t="s">
        <v>107</v>
      </c>
    </row>
    <row r="33" spans="1:7" x14ac:dyDescent="0.2">
      <c r="A33" s="53">
        <v>32</v>
      </c>
      <c r="B33" s="52" t="s">
        <v>18</v>
      </c>
      <c r="C33" s="54">
        <v>16</v>
      </c>
      <c r="D33" s="56">
        <v>720</v>
      </c>
      <c r="E33" s="61">
        <v>0.54115395132622368</v>
      </c>
      <c r="F33" s="56">
        <v>153.89100000000002</v>
      </c>
      <c r="G33" s="59" t="s">
        <v>9</v>
      </c>
    </row>
    <row r="34" spans="1:7" x14ac:dyDescent="0.2">
      <c r="A34" s="53">
        <v>33</v>
      </c>
      <c r="B34" s="52" t="s">
        <v>74</v>
      </c>
      <c r="C34" s="54">
        <v>16</v>
      </c>
      <c r="D34" s="56">
        <v>1559.4791666666663</v>
      </c>
      <c r="E34" s="61">
        <v>0.5373235832794655</v>
      </c>
      <c r="F34" s="56">
        <v>73.873000000000005</v>
      </c>
      <c r="G34" s="59" t="s">
        <v>65</v>
      </c>
    </row>
    <row r="35" spans="1:7" x14ac:dyDescent="0.2">
      <c r="A35" s="53">
        <v>34</v>
      </c>
      <c r="B35" s="52" t="s">
        <v>171</v>
      </c>
      <c r="C35" s="54">
        <v>16</v>
      </c>
      <c r="D35" s="56">
        <v>700</v>
      </c>
      <c r="E35" s="61">
        <v>0.53568498769483186</v>
      </c>
      <c r="F35" s="56">
        <v>86.777000000000001</v>
      </c>
      <c r="G35" s="59" t="s">
        <v>9</v>
      </c>
    </row>
    <row r="36" spans="1:7" x14ac:dyDescent="0.2">
      <c r="A36" s="53">
        <v>35</v>
      </c>
      <c r="B36" s="52" t="s">
        <v>71</v>
      </c>
      <c r="C36" s="54">
        <v>16</v>
      </c>
      <c r="D36" s="56">
        <v>1543.0572916666665</v>
      </c>
      <c r="E36" s="61">
        <v>0.53201593137254899</v>
      </c>
      <c r="F36" s="56">
        <v>148.02300000000002</v>
      </c>
      <c r="G36" s="59" t="s">
        <v>65</v>
      </c>
    </row>
    <row r="37" spans="1:7" x14ac:dyDescent="0.2">
      <c r="A37" s="53">
        <v>36</v>
      </c>
      <c r="B37" s="52" t="s">
        <v>19</v>
      </c>
      <c r="C37" s="54">
        <v>16</v>
      </c>
      <c r="D37" s="56">
        <v>679</v>
      </c>
      <c r="E37" s="61">
        <v>0.52994257588187044</v>
      </c>
      <c r="F37" s="56">
        <v>259.70500000000004</v>
      </c>
      <c r="G37" s="59" t="s">
        <v>9</v>
      </c>
    </row>
    <row r="38" spans="1:7" x14ac:dyDescent="0.2">
      <c r="A38" s="53">
        <v>37</v>
      </c>
      <c r="B38" s="52" t="s">
        <v>98</v>
      </c>
      <c r="C38" s="54">
        <v>16</v>
      </c>
      <c r="D38" s="56">
        <v>1519.0666666666668</v>
      </c>
      <c r="E38" s="61">
        <v>0.52426201249730664</v>
      </c>
      <c r="F38" s="56">
        <v>452.39600000000002</v>
      </c>
      <c r="G38" s="59" t="s">
        <v>65</v>
      </c>
    </row>
    <row r="39" spans="1:7" x14ac:dyDescent="0.2">
      <c r="A39" s="53">
        <v>38</v>
      </c>
      <c r="B39" s="52" t="s">
        <v>115</v>
      </c>
      <c r="C39" s="54">
        <v>16</v>
      </c>
      <c r="D39" s="56">
        <v>640</v>
      </c>
      <c r="E39" s="61">
        <v>0.51927809680065629</v>
      </c>
      <c r="F39" s="56">
        <v>324.90000000000003</v>
      </c>
      <c r="G39" s="59" t="s">
        <v>107</v>
      </c>
    </row>
    <row r="40" spans="1:7" x14ac:dyDescent="0.2">
      <c r="A40" s="53">
        <v>39</v>
      </c>
      <c r="B40" s="52" t="s">
        <v>73</v>
      </c>
      <c r="C40" s="54">
        <v>16</v>
      </c>
      <c r="D40" s="56">
        <v>1499.7333333333333</v>
      </c>
      <c r="E40" s="61">
        <v>0.51801335918982983</v>
      </c>
      <c r="F40" s="56">
        <v>208.27499999999998</v>
      </c>
      <c r="G40" s="59" t="s">
        <v>65</v>
      </c>
    </row>
    <row r="41" spans="1:7" x14ac:dyDescent="0.2">
      <c r="A41" s="53">
        <v>40</v>
      </c>
      <c r="B41" s="52" t="s">
        <v>173</v>
      </c>
      <c r="C41" s="54">
        <v>16</v>
      </c>
      <c r="D41" s="56">
        <v>633</v>
      </c>
      <c r="E41" s="61">
        <v>0.51736395952966918</v>
      </c>
      <c r="F41" s="56">
        <v>221.28100000000001</v>
      </c>
      <c r="G41" s="59" t="s">
        <v>9</v>
      </c>
    </row>
    <row r="42" spans="1:7" x14ac:dyDescent="0.2">
      <c r="A42" s="53">
        <v>41</v>
      </c>
      <c r="B42" s="52" t="s">
        <v>117</v>
      </c>
      <c r="C42" s="54">
        <v>16</v>
      </c>
      <c r="D42" s="56">
        <v>626.5</v>
      </c>
      <c r="E42" s="61">
        <v>0.51558654634946677</v>
      </c>
      <c r="F42" s="56">
        <v>323.04999999999995</v>
      </c>
      <c r="G42" s="59" t="s">
        <v>107</v>
      </c>
    </row>
    <row r="43" spans="1:7" x14ac:dyDescent="0.2">
      <c r="A43" s="53">
        <v>42</v>
      </c>
      <c r="B43" s="52" t="s">
        <v>182</v>
      </c>
      <c r="C43" s="54">
        <v>16</v>
      </c>
      <c r="D43" s="56">
        <v>605.5</v>
      </c>
      <c r="E43" s="61">
        <v>0.50984413453650534</v>
      </c>
      <c r="F43" s="56">
        <v>112.40300000000001</v>
      </c>
      <c r="G43" s="59" t="s">
        <v>107</v>
      </c>
    </row>
    <row r="44" spans="1:7" x14ac:dyDescent="0.2">
      <c r="A44" s="53">
        <v>43</v>
      </c>
      <c r="B44" s="52" t="s">
        <v>111</v>
      </c>
      <c r="C44" s="54">
        <v>16</v>
      </c>
      <c r="D44" s="56">
        <v>593</v>
      </c>
      <c r="E44" s="61">
        <v>0.50642603226688543</v>
      </c>
      <c r="F44" s="56">
        <v>412.8769999999999</v>
      </c>
      <c r="G44" s="59" t="s">
        <v>107</v>
      </c>
    </row>
    <row r="45" spans="1:7" x14ac:dyDescent="0.2">
      <c r="A45" s="53">
        <v>44</v>
      </c>
      <c r="B45" s="52" t="s">
        <v>127</v>
      </c>
      <c r="C45" s="54">
        <v>16</v>
      </c>
      <c r="D45" s="56">
        <v>588.75</v>
      </c>
      <c r="E45" s="61">
        <v>0.50526387749521462</v>
      </c>
      <c r="F45" s="56">
        <v>356.49900000000002</v>
      </c>
      <c r="G45" s="59" t="s">
        <v>107</v>
      </c>
    </row>
    <row r="46" spans="1:7" x14ac:dyDescent="0.2">
      <c r="A46" s="53">
        <v>45</v>
      </c>
      <c r="B46" s="52" t="s">
        <v>76</v>
      </c>
      <c r="C46" s="54">
        <v>16</v>
      </c>
      <c r="D46" s="56">
        <v>1456.8333333333333</v>
      </c>
      <c r="E46" s="61">
        <v>0.50414781297134237</v>
      </c>
      <c r="F46" s="56">
        <v>72.597999999999999</v>
      </c>
      <c r="G46" s="59" t="s">
        <v>65</v>
      </c>
    </row>
    <row r="47" spans="1:7" x14ac:dyDescent="0.2">
      <c r="A47" s="53">
        <v>46</v>
      </c>
      <c r="B47" s="52" t="s">
        <v>85</v>
      </c>
      <c r="C47" s="54">
        <v>16</v>
      </c>
      <c r="D47" s="56">
        <v>1447.95</v>
      </c>
      <c r="E47" s="61">
        <v>0.50127666451195863</v>
      </c>
      <c r="F47" s="56">
        <v>215.21300000000002</v>
      </c>
      <c r="G47" s="59" t="s">
        <v>65</v>
      </c>
    </row>
    <row r="48" spans="1:7" x14ac:dyDescent="0.2">
      <c r="A48" s="53">
        <v>47</v>
      </c>
      <c r="B48" s="52" t="s">
        <v>99</v>
      </c>
      <c r="C48" s="54">
        <v>16</v>
      </c>
      <c r="D48" s="56">
        <v>1443.7874999999997</v>
      </c>
      <c r="E48" s="61">
        <v>0.49993131868131857</v>
      </c>
      <c r="F48" s="56">
        <v>163.24199999999999</v>
      </c>
      <c r="G48" s="59" t="s">
        <v>65</v>
      </c>
    </row>
    <row r="49" spans="1:7" x14ac:dyDescent="0.2">
      <c r="A49" s="53">
        <v>48</v>
      </c>
      <c r="B49" s="52" t="s">
        <v>11</v>
      </c>
      <c r="C49" s="54">
        <v>16</v>
      </c>
      <c r="D49" s="56">
        <v>562</v>
      </c>
      <c r="E49" s="61">
        <v>0.49794913863822804</v>
      </c>
      <c r="F49" s="56">
        <v>342.089</v>
      </c>
      <c r="G49" s="59" t="s">
        <v>9</v>
      </c>
    </row>
    <row r="50" spans="1:7" x14ac:dyDescent="0.2">
      <c r="A50" s="53">
        <v>49</v>
      </c>
      <c r="B50" s="52" t="s">
        <v>157</v>
      </c>
      <c r="C50" s="54">
        <v>16</v>
      </c>
      <c r="D50" s="56">
        <v>543</v>
      </c>
      <c r="E50" s="61">
        <v>0.49275362318840582</v>
      </c>
      <c r="F50" s="56">
        <v>293.60400000000004</v>
      </c>
      <c r="G50" s="59" t="s">
        <v>107</v>
      </c>
    </row>
    <row r="51" spans="1:7" x14ac:dyDescent="0.2">
      <c r="A51" s="53">
        <v>50</v>
      </c>
      <c r="B51" s="52" t="s">
        <v>97</v>
      </c>
      <c r="C51" s="54">
        <v>16</v>
      </c>
      <c r="D51" s="56">
        <v>1420.2458333333332</v>
      </c>
      <c r="E51" s="61">
        <v>0.49232250592544707</v>
      </c>
      <c r="F51" s="56">
        <v>99.978000000000009</v>
      </c>
      <c r="G51" s="59" t="s">
        <v>65</v>
      </c>
    </row>
    <row r="52" spans="1:7" x14ac:dyDescent="0.2">
      <c r="A52" s="53">
        <v>51</v>
      </c>
      <c r="B52" s="52" t="s">
        <v>15</v>
      </c>
      <c r="C52" s="54">
        <v>16</v>
      </c>
      <c r="D52" s="56">
        <v>490</v>
      </c>
      <c r="E52" s="61">
        <v>0.47826086956521741</v>
      </c>
      <c r="F52" s="56">
        <v>167.262</v>
      </c>
      <c r="G52" s="59" t="s">
        <v>9</v>
      </c>
    </row>
    <row r="53" spans="1:7" x14ac:dyDescent="0.2">
      <c r="A53" s="53">
        <v>52</v>
      </c>
      <c r="B53" s="52" t="s">
        <v>122</v>
      </c>
      <c r="C53" s="54">
        <v>16</v>
      </c>
      <c r="D53" s="56">
        <v>488</v>
      </c>
      <c r="E53" s="61">
        <v>0.4777139732020782</v>
      </c>
      <c r="F53" s="56">
        <v>283.35199999999998</v>
      </c>
      <c r="G53" s="59" t="s">
        <v>107</v>
      </c>
    </row>
    <row r="54" spans="1:7" x14ac:dyDescent="0.2">
      <c r="A54" s="53">
        <v>53</v>
      </c>
      <c r="B54" s="52" t="s">
        <v>160</v>
      </c>
      <c r="C54" s="54">
        <v>16</v>
      </c>
      <c r="D54" s="56">
        <v>487</v>
      </c>
      <c r="E54" s="61">
        <v>0.4774405250205086</v>
      </c>
      <c r="F54" s="56">
        <v>211.38499999999999</v>
      </c>
      <c r="G54" s="59" t="s">
        <v>107</v>
      </c>
    </row>
    <row r="55" spans="1:7" x14ac:dyDescent="0.2">
      <c r="A55" s="53">
        <v>54</v>
      </c>
      <c r="B55" s="52" t="s">
        <v>96</v>
      </c>
      <c r="C55" s="54">
        <v>16</v>
      </c>
      <c r="D55" s="56">
        <v>1366.4041666666667</v>
      </c>
      <c r="E55" s="61">
        <v>0.47492054514113341</v>
      </c>
      <c r="F55" s="56">
        <v>157.755</v>
      </c>
      <c r="G55" s="59" t="s">
        <v>65</v>
      </c>
    </row>
    <row r="56" spans="1:7" x14ac:dyDescent="0.2">
      <c r="A56" s="53">
        <v>55</v>
      </c>
      <c r="B56" s="52" t="s">
        <v>22</v>
      </c>
      <c r="C56" s="54">
        <v>6</v>
      </c>
      <c r="D56" s="56">
        <v>470</v>
      </c>
      <c r="E56" s="61">
        <v>0.47279190593382553</v>
      </c>
      <c r="F56" s="56">
        <v>60.288000000000004</v>
      </c>
      <c r="G56" s="59" t="s">
        <v>9</v>
      </c>
    </row>
    <row r="57" spans="1:7" x14ac:dyDescent="0.2">
      <c r="A57" s="53">
        <v>56</v>
      </c>
      <c r="B57" s="52" t="s">
        <v>83</v>
      </c>
      <c r="C57" s="54">
        <v>16</v>
      </c>
      <c r="D57" s="56">
        <v>1356.6763888888888</v>
      </c>
      <c r="E57" s="61">
        <v>0.47177646699705522</v>
      </c>
      <c r="F57" s="56">
        <v>227.65700000000004</v>
      </c>
      <c r="G57" s="59" t="s">
        <v>65</v>
      </c>
    </row>
    <row r="58" spans="1:7" x14ac:dyDescent="0.2">
      <c r="A58" s="53">
        <v>57</v>
      </c>
      <c r="B58" s="52" t="s">
        <v>17</v>
      </c>
      <c r="C58" s="54">
        <v>8</v>
      </c>
      <c r="D58" s="56">
        <v>459</v>
      </c>
      <c r="E58" s="61">
        <v>0.46978397593656002</v>
      </c>
      <c r="F58" s="56">
        <v>56.050000000000004</v>
      </c>
      <c r="G58" s="59" t="s">
        <v>9</v>
      </c>
    </row>
    <row r="59" spans="1:7" x14ac:dyDescent="0.2">
      <c r="A59" s="53">
        <v>58</v>
      </c>
      <c r="B59" s="52" t="s">
        <v>32</v>
      </c>
      <c r="C59" s="54">
        <v>16</v>
      </c>
      <c r="D59" s="56">
        <v>439</v>
      </c>
      <c r="E59" s="61">
        <v>0.4643150123051682</v>
      </c>
      <c r="F59" s="56">
        <v>154.429</v>
      </c>
      <c r="G59" s="59" t="s">
        <v>9</v>
      </c>
    </row>
    <row r="60" spans="1:7" x14ac:dyDescent="0.2">
      <c r="A60" s="53">
        <v>59</v>
      </c>
      <c r="B60" s="52" t="s">
        <v>180</v>
      </c>
      <c r="C60" s="54">
        <v>16</v>
      </c>
      <c r="D60" s="56">
        <v>414.5</v>
      </c>
      <c r="E60" s="61">
        <v>0.45761553185671316</v>
      </c>
      <c r="F60" s="56">
        <v>276.10399999999998</v>
      </c>
      <c r="G60" s="59" t="s">
        <v>107</v>
      </c>
    </row>
    <row r="61" spans="1:7" x14ac:dyDescent="0.2">
      <c r="A61" s="53">
        <v>60</v>
      </c>
      <c r="B61" s="52" t="s">
        <v>78</v>
      </c>
      <c r="C61" s="54">
        <v>16</v>
      </c>
      <c r="D61" s="56">
        <v>1312.75</v>
      </c>
      <c r="E61" s="61">
        <v>0.45757918552036198</v>
      </c>
      <c r="F61" s="56">
        <v>445.952</v>
      </c>
      <c r="G61" s="59" t="s">
        <v>65</v>
      </c>
    </row>
    <row r="62" spans="1:7" x14ac:dyDescent="0.2">
      <c r="A62" s="53">
        <v>61</v>
      </c>
      <c r="B62" s="52" t="s">
        <v>105</v>
      </c>
      <c r="C62" s="54">
        <v>16</v>
      </c>
      <c r="D62" s="56">
        <v>1311.8999999999999</v>
      </c>
      <c r="E62" s="61">
        <v>0.45730446024563665</v>
      </c>
      <c r="F62" s="56">
        <v>216.99499999999998</v>
      </c>
      <c r="G62" s="59" t="s">
        <v>65</v>
      </c>
    </row>
    <row r="63" spans="1:7" x14ac:dyDescent="0.2">
      <c r="A63" s="53">
        <v>62</v>
      </c>
      <c r="B63" s="52" t="s">
        <v>31</v>
      </c>
      <c r="C63" s="54">
        <v>5</v>
      </c>
      <c r="D63" s="56">
        <v>406</v>
      </c>
      <c r="E63" s="61">
        <v>0.4552912223133716</v>
      </c>
      <c r="F63" s="56">
        <v>44.74</v>
      </c>
      <c r="G63" s="59" t="s">
        <v>9</v>
      </c>
    </row>
    <row r="64" spans="1:7" x14ac:dyDescent="0.2">
      <c r="A64" s="53">
        <v>63</v>
      </c>
      <c r="B64" s="52" t="s">
        <v>93</v>
      </c>
      <c r="C64" s="54">
        <v>16</v>
      </c>
      <c r="D64" s="56">
        <v>1302.9000000000001</v>
      </c>
      <c r="E64" s="61">
        <v>0.45439560439560445</v>
      </c>
      <c r="F64" s="56">
        <v>68.333999999999989</v>
      </c>
      <c r="G64" s="59" t="s">
        <v>65</v>
      </c>
    </row>
    <row r="65" spans="1:7" x14ac:dyDescent="0.2">
      <c r="A65" s="53">
        <v>64</v>
      </c>
      <c r="B65" s="52" t="s">
        <v>60</v>
      </c>
      <c r="C65" s="54">
        <v>16</v>
      </c>
      <c r="D65" s="56">
        <v>396</v>
      </c>
      <c r="E65" s="61">
        <v>0.45255674049767569</v>
      </c>
      <c r="F65" s="56">
        <v>157.30099999999999</v>
      </c>
      <c r="G65" s="59" t="s">
        <v>9</v>
      </c>
    </row>
    <row r="66" spans="1:7" x14ac:dyDescent="0.2">
      <c r="A66" s="53">
        <v>65</v>
      </c>
      <c r="B66" s="52" t="s">
        <v>10</v>
      </c>
      <c r="C66" s="54">
        <v>16</v>
      </c>
      <c r="D66" s="56">
        <v>386.75</v>
      </c>
      <c r="E66" s="61">
        <v>0.45002734481815698</v>
      </c>
      <c r="F66" s="56">
        <v>210.64400000000001</v>
      </c>
      <c r="G66" s="59" t="s">
        <v>9</v>
      </c>
    </row>
    <row r="67" spans="1:7" x14ac:dyDescent="0.2">
      <c r="A67" s="53">
        <v>66</v>
      </c>
      <c r="B67" s="52" t="s">
        <v>179</v>
      </c>
      <c r="C67" s="54">
        <v>16</v>
      </c>
      <c r="D67" s="56">
        <v>1283.6958333333332</v>
      </c>
      <c r="E67" s="61">
        <v>0.44818869855634558</v>
      </c>
      <c r="F67" s="56">
        <v>88.462000000000018</v>
      </c>
      <c r="G67" s="59" t="s">
        <v>65</v>
      </c>
    </row>
    <row r="68" spans="1:7" x14ac:dyDescent="0.2">
      <c r="A68" s="53">
        <v>67</v>
      </c>
      <c r="B68" s="52" t="s">
        <v>20</v>
      </c>
      <c r="C68" s="54">
        <v>9</v>
      </c>
      <c r="D68" s="56">
        <v>355</v>
      </c>
      <c r="E68" s="61">
        <v>0.44134536505332239</v>
      </c>
      <c r="F68" s="56">
        <v>78.444000000000017</v>
      </c>
      <c r="G68" s="59" t="s">
        <v>9</v>
      </c>
    </row>
    <row r="69" spans="1:7" x14ac:dyDescent="0.2">
      <c r="A69" s="53">
        <v>68</v>
      </c>
      <c r="B69" s="52" t="s">
        <v>30</v>
      </c>
      <c r="C69" s="54">
        <v>4</v>
      </c>
      <c r="D69" s="56">
        <v>342</v>
      </c>
      <c r="E69" s="61">
        <v>0.43779053869291767</v>
      </c>
      <c r="F69" s="56">
        <v>20.673999999999999</v>
      </c>
      <c r="G69" s="59" t="s">
        <v>9</v>
      </c>
    </row>
    <row r="70" spans="1:7" x14ac:dyDescent="0.2">
      <c r="A70" s="53">
        <v>69</v>
      </c>
      <c r="B70" s="52" t="s">
        <v>88</v>
      </c>
      <c r="C70" s="54">
        <v>16</v>
      </c>
      <c r="D70" s="56">
        <v>1246.0138888888889</v>
      </c>
      <c r="E70" s="61">
        <v>0.43600966027436616</v>
      </c>
      <c r="F70" s="56">
        <v>192.79999999999998</v>
      </c>
      <c r="G70" s="59" t="s">
        <v>65</v>
      </c>
    </row>
    <row r="71" spans="1:7" x14ac:dyDescent="0.2">
      <c r="A71" s="53">
        <v>70</v>
      </c>
      <c r="B71" s="52" t="s">
        <v>92</v>
      </c>
      <c r="C71" s="54">
        <v>16</v>
      </c>
      <c r="D71" s="56">
        <v>1245.7541666666666</v>
      </c>
      <c r="E71" s="61">
        <v>0.43592571644042233</v>
      </c>
      <c r="F71" s="56">
        <v>158.80600000000004</v>
      </c>
      <c r="G71" s="59" t="s">
        <v>65</v>
      </c>
    </row>
    <row r="72" spans="1:7" x14ac:dyDescent="0.2">
      <c r="A72" s="53">
        <v>71</v>
      </c>
      <c r="B72" s="52" t="s">
        <v>28</v>
      </c>
      <c r="C72" s="54">
        <v>16</v>
      </c>
      <c r="D72" s="56">
        <v>325.75</v>
      </c>
      <c r="E72" s="61">
        <v>0.43334700574241181</v>
      </c>
      <c r="F72" s="56">
        <v>276.553</v>
      </c>
      <c r="G72" s="59" t="s">
        <v>9</v>
      </c>
    </row>
    <row r="73" spans="1:7" x14ac:dyDescent="0.2">
      <c r="A73" s="53">
        <v>72</v>
      </c>
      <c r="B73" s="52" t="s">
        <v>25</v>
      </c>
      <c r="C73" s="54">
        <v>16</v>
      </c>
      <c r="D73" s="56">
        <v>315.5</v>
      </c>
      <c r="E73" s="61">
        <v>0.43054416188132349</v>
      </c>
      <c r="F73" s="56">
        <v>168.14899999999997</v>
      </c>
      <c r="G73" s="59" t="s">
        <v>9</v>
      </c>
    </row>
    <row r="74" spans="1:7" x14ac:dyDescent="0.2">
      <c r="A74" s="53">
        <v>73</v>
      </c>
      <c r="B74" s="52" t="s">
        <v>33</v>
      </c>
      <c r="C74" s="54">
        <v>16</v>
      </c>
      <c r="D74" s="56">
        <v>310</v>
      </c>
      <c r="E74" s="61">
        <v>0.42904019688269074</v>
      </c>
      <c r="F74" s="56">
        <v>207.71700000000004</v>
      </c>
      <c r="G74" s="59" t="s">
        <v>9</v>
      </c>
    </row>
    <row r="75" spans="1:7" x14ac:dyDescent="0.2">
      <c r="A75" s="53">
        <v>74</v>
      </c>
      <c r="B75" s="52" t="s">
        <v>128</v>
      </c>
      <c r="C75" s="54">
        <v>4</v>
      </c>
      <c r="D75" s="56">
        <v>308</v>
      </c>
      <c r="E75" s="61">
        <v>0.42849330051955153</v>
      </c>
      <c r="F75" s="56">
        <v>29.929000000000002</v>
      </c>
      <c r="G75" s="59" t="s">
        <v>107</v>
      </c>
    </row>
    <row r="76" spans="1:7" x14ac:dyDescent="0.2">
      <c r="A76" s="53">
        <v>75</v>
      </c>
      <c r="B76" s="52" t="s">
        <v>129</v>
      </c>
      <c r="C76" s="54">
        <v>4</v>
      </c>
      <c r="D76" s="56">
        <v>293</v>
      </c>
      <c r="E76" s="61">
        <v>0.42439157779600767</v>
      </c>
      <c r="F76" s="56">
        <v>67.831000000000003</v>
      </c>
      <c r="G76" s="59" t="s">
        <v>107</v>
      </c>
    </row>
    <row r="77" spans="1:7" x14ac:dyDescent="0.2">
      <c r="A77" s="53">
        <v>76</v>
      </c>
      <c r="B77" s="52" t="s">
        <v>124</v>
      </c>
      <c r="C77" s="54">
        <v>5</v>
      </c>
      <c r="D77" s="56">
        <v>291</v>
      </c>
      <c r="E77" s="61">
        <v>0.42384468143286846</v>
      </c>
      <c r="F77" s="56">
        <v>73.829000000000008</v>
      </c>
      <c r="G77" s="59" t="s">
        <v>107</v>
      </c>
    </row>
    <row r="78" spans="1:7" x14ac:dyDescent="0.2">
      <c r="A78" s="53">
        <v>77</v>
      </c>
      <c r="B78" s="52" t="s">
        <v>27</v>
      </c>
      <c r="C78" s="54">
        <v>16</v>
      </c>
      <c r="D78" s="56">
        <v>287</v>
      </c>
      <c r="E78" s="61">
        <v>0.42275088870659011</v>
      </c>
      <c r="F78" s="56">
        <v>224.46799999999999</v>
      </c>
      <c r="G78" s="59" t="s">
        <v>9</v>
      </c>
    </row>
    <row r="79" spans="1:7" x14ac:dyDescent="0.2">
      <c r="A79" s="53">
        <v>78</v>
      </c>
      <c r="B79" s="52" t="s">
        <v>170</v>
      </c>
      <c r="C79" s="54">
        <v>16</v>
      </c>
      <c r="D79" s="56">
        <v>287</v>
      </c>
      <c r="E79" s="61">
        <v>0.42275088870659011</v>
      </c>
      <c r="F79" s="56">
        <v>269.87799999999999</v>
      </c>
      <c r="G79" s="59" t="s">
        <v>9</v>
      </c>
    </row>
    <row r="80" spans="1:7" x14ac:dyDescent="0.2">
      <c r="A80" s="53">
        <v>79</v>
      </c>
      <c r="B80" s="52" t="s">
        <v>101</v>
      </c>
      <c r="C80" s="54">
        <v>16</v>
      </c>
      <c r="D80" s="56">
        <v>1196.5499999999997</v>
      </c>
      <c r="E80" s="61">
        <v>0.42002262443438904</v>
      </c>
      <c r="F80" s="56">
        <v>89.010999999999981</v>
      </c>
      <c r="G80" s="59" t="s">
        <v>65</v>
      </c>
    </row>
    <row r="81" spans="1:7" x14ac:dyDescent="0.2">
      <c r="A81" s="53">
        <v>80</v>
      </c>
      <c r="B81" s="52" t="s">
        <v>36</v>
      </c>
      <c r="C81" s="54">
        <v>5</v>
      </c>
      <c r="D81" s="56">
        <v>262</v>
      </c>
      <c r="E81" s="61">
        <v>0.41591468416735028</v>
      </c>
      <c r="F81" s="56">
        <v>46.777000000000001</v>
      </c>
      <c r="G81" s="59" t="s">
        <v>9</v>
      </c>
    </row>
    <row r="82" spans="1:7" x14ac:dyDescent="0.2">
      <c r="A82" s="53">
        <v>81</v>
      </c>
      <c r="B82" s="52" t="s">
        <v>183</v>
      </c>
      <c r="C82" s="54">
        <v>16</v>
      </c>
      <c r="D82" s="56">
        <v>262</v>
      </c>
      <c r="E82" s="61">
        <v>0.41591468416735028</v>
      </c>
      <c r="F82" s="56">
        <v>228.66200000000001</v>
      </c>
      <c r="G82" s="59" t="s">
        <v>107</v>
      </c>
    </row>
    <row r="83" spans="1:7" x14ac:dyDescent="0.2">
      <c r="A83" s="53">
        <v>82</v>
      </c>
      <c r="B83" s="52" t="s">
        <v>113</v>
      </c>
      <c r="C83" s="54">
        <v>16</v>
      </c>
      <c r="D83" s="56">
        <v>262</v>
      </c>
      <c r="E83" s="61">
        <v>0.41591468416735028</v>
      </c>
      <c r="F83" s="56">
        <v>255.87899999999999</v>
      </c>
      <c r="G83" s="59" t="s">
        <v>107</v>
      </c>
    </row>
    <row r="84" spans="1:7" x14ac:dyDescent="0.2">
      <c r="A84" s="53">
        <v>83</v>
      </c>
      <c r="B84" s="52" t="s">
        <v>150</v>
      </c>
      <c r="C84" s="54">
        <v>16</v>
      </c>
      <c r="D84" s="56">
        <v>258</v>
      </c>
      <c r="E84" s="61">
        <v>0.41482089144107193</v>
      </c>
      <c r="F84" s="56">
        <v>192.66199999999998</v>
      </c>
      <c r="G84" s="59" t="s">
        <v>107</v>
      </c>
    </row>
    <row r="85" spans="1:7" x14ac:dyDescent="0.2">
      <c r="A85" s="53">
        <v>84</v>
      </c>
      <c r="B85" s="52" t="s">
        <v>26</v>
      </c>
      <c r="C85" s="54">
        <v>16</v>
      </c>
      <c r="D85" s="56">
        <v>254.75</v>
      </c>
      <c r="E85" s="61">
        <v>0.41393218485097072</v>
      </c>
      <c r="F85" s="56">
        <v>117.35899999999999</v>
      </c>
      <c r="G85" s="59" t="s">
        <v>9</v>
      </c>
    </row>
    <row r="86" spans="1:7" x14ac:dyDescent="0.2">
      <c r="A86" s="53">
        <v>85</v>
      </c>
      <c r="B86" s="52" t="s">
        <v>37</v>
      </c>
      <c r="C86" s="54">
        <v>4</v>
      </c>
      <c r="D86" s="56">
        <v>253</v>
      </c>
      <c r="E86" s="61">
        <v>0.41345365053322397</v>
      </c>
      <c r="F86" s="56">
        <v>32.706000000000003</v>
      </c>
      <c r="G86" s="59" t="s">
        <v>9</v>
      </c>
    </row>
    <row r="87" spans="1:7" x14ac:dyDescent="0.2">
      <c r="A87" s="53">
        <v>86</v>
      </c>
      <c r="B87" s="52" t="s">
        <v>131</v>
      </c>
      <c r="C87" s="54">
        <v>4</v>
      </c>
      <c r="D87" s="56">
        <v>247</v>
      </c>
      <c r="E87" s="61">
        <v>0.41181296144380641</v>
      </c>
      <c r="F87" s="56">
        <v>45.313000000000002</v>
      </c>
      <c r="G87" s="59" t="s">
        <v>107</v>
      </c>
    </row>
    <row r="88" spans="1:7" x14ac:dyDescent="0.2">
      <c r="A88" s="53">
        <v>87</v>
      </c>
      <c r="B88" s="52" t="s">
        <v>172</v>
      </c>
      <c r="C88" s="54">
        <v>5</v>
      </c>
      <c r="D88" s="56">
        <v>246</v>
      </c>
      <c r="E88" s="61">
        <v>0.41153951326223681</v>
      </c>
      <c r="F88" s="56">
        <v>68.137999999999991</v>
      </c>
      <c r="G88" s="59" t="s">
        <v>9</v>
      </c>
    </row>
    <row r="89" spans="1:7" x14ac:dyDescent="0.2">
      <c r="A89" s="53">
        <v>88</v>
      </c>
      <c r="B89" s="52" t="s">
        <v>189</v>
      </c>
      <c r="C89" s="54">
        <v>10</v>
      </c>
      <c r="D89" s="56">
        <v>245</v>
      </c>
      <c r="E89" s="61">
        <v>0.41126606508066721</v>
      </c>
      <c r="F89" s="56">
        <v>155.726</v>
      </c>
      <c r="G89" s="59" t="s">
        <v>107</v>
      </c>
    </row>
    <row r="90" spans="1:7" x14ac:dyDescent="0.2">
      <c r="A90" s="53">
        <v>89</v>
      </c>
      <c r="B90" s="52" t="s">
        <v>131</v>
      </c>
      <c r="C90" s="54">
        <v>4</v>
      </c>
      <c r="D90" s="56">
        <v>232</v>
      </c>
      <c r="E90" s="61">
        <v>0.40771123872026249</v>
      </c>
      <c r="F90" s="56">
        <v>53.783000000000001</v>
      </c>
      <c r="G90" s="59" t="s">
        <v>107</v>
      </c>
    </row>
    <row r="91" spans="1:7" x14ac:dyDescent="0.2">
      <c r="A91" s="53">
        <v>90</v>
      </c>
      <c r="B91" s="52" t="s">
        <v>34</v>
      </c>
      <c r="C91" s="54">
        <v>4</v>
      </c>
      <c r="D91" s="56">
        <v>230</v>
      </c>
      <c r="E91" s="61">
        <v>0.40716434235712334</v>
      </c>
      <c r="F91" s="56">
        <v>33.75</v>
      </c>
      <c r="G91" s="59" t="s">
        <v>9</v>
      </c>
    </row>
    <row r="92" spans="1:7" x14ac:dyDescent="0.2">
      <c r="A92" s="53">
        <v>91</v>
      </c>
      <c r="B92" s="52" t="s">
        <v>35</v>
      </c>
      <c r="C92" s="54">
        <v>4</v>
      </c>
      <c r="D92" s="56">
        <v>229</v>
      </c>
      <c r="E92" s="61">
        <v>0.40689089417555374</v>
      </c>
      <c r="F92" s="56">
        <v>21.243000000000002</v>
      </c>
      <c r="G92" s="59" t="s">
        <v>9</v>
      </c>
    </row>
    <row r="93" spans="1:7" x14ac:dyDescent="0.2">
      <c r="A93" s="53">
        <v>92</v>
      </c>
      <c r="B93" s="52" t="s">
        <v>120</v>
      </c>
      <c r="C93" s="54">
        <v>16</v>
      </c>
      <c r="D93" s="56">
        <v>228.5</v>
      </c>
      <c r="E93" s="61">
        <v>0.40675417008476894</v>
      </c>
      <c r="F93" s="56">
        <v>516.67100000000005</v>
      </c>
      <c r="G93" s="59" t="s">
        <v>107</v>
      </c>
    </row>
    <row r="94" spans="1:7" x14ac:dyDescent="0.2">
      <c r="A94" s="53">
        <v>93</v>
      </c>
      <c r="B94" s="52" t="s">
        <v>38</v>
      </c>
      <c r="C94" s="54">
        <v>16</v>
      </c>
      <c r="D94" s="56">
        <v>207</v>
      </c>
      <c r="E94" s="61">
        <v>0.40087503418102272</v>
      </c>
      <c r="F94" s="56">
        <v>216.14699999999999</v>
      </c>
      <c r="G94" s="59" t="s">
        <v>9</v>
      </c>
    </row>
    <row r="95" spans="1:7" x14ac:dyDescent="0.2">
      <c r="A95" s="53">
        <v>94</v>
      </c>
      <c r="B95" s="52" t="s">
        <v>158</v>
      </c>
      <c r="C95" s="54">
        <v>16</v>
      </c>
      <c r="D95" s="56">
        <v>197.5</v>
      </c>
      <c r="E95" s="61">
        <v>0.39827727645611155</v>
      </c>
      <c r="F95" s="56">
        <v>475.70699999999999</v>
      </c>
      <c r="G95" s="59" t="s">
        <v>107</v>
      </c>
    </row>
    <row r="96" spans="1:7" x14ac:dyDescent="0.2">
      <c r="A96" s="53">
        <v>95</v>
      </c>
      <c r="B96" s="52" t="s">
        <v>132</v>
      </c>
      <c r="C96" s="54">
        <v>3</v>
      </c>
      <c r="D96" s="56">
        <v>186</v>
      </c>
      <c r="E96" s="61">
        <v>0.39513262236806124</v>
      </c>
      <c r="F96" s="56">
        <v>16.535999999999998</v>
      </c>
      <c r="G96" s="59" t="s">
        <v>107</v>
      </c>
    </row>
    <row r="97" spans="1:7" x14ac:dyDescent="0.2">
      <c r="A97" s="53">
        <v>96</v>
      </c>
      <c r="B97" s="52" t="s">
        <v>159</v>
      </c>
      <c r="C97" s="54">
        <v>16</v>
      </c>
      <c r="D97" s="56">
        <v>176</v>
      </c>
      <c r="E97" s="61">
        <v>0.39239814055236533</v>
      </c>
      <c r="F97" s="56">
        <v>208.78900000000002</v>
      </c>
      <c r="G97" s="59" t="s">
        <v>107</v>
      </c>
    </row>
    <row r="98" spans="1:7" x14ac:dyDescent="0.2">
      <c r="A98" s="53">
        <v>97</v>
      </c>
      <c r="B98" s="52" t="s">
        <v>39</v>
      </c>
      <c r="C98" s="54">
        <v>2</v>
      </c>
      <c r="D98" s="56">
        <v>173</v>
      </c>
      <c r="E98" s="61">
        <v>0.39157779600765658</v>
      </c>
      <c r="F98" s="56">
        <v>22.466000000000001</v>
      </c>
      <c r="G98" s="59" t="s">
        <v>9</v>
      </c>
    </row>
    <row r="99" spans="1:7" x14ac:dyDescent="0.2">
      <c r="A99" s="53">
        <v>98</v>
      </c>
      <c r="B99" s="52" t="s">
        <v>133</v>
      </c>
      <c r="C99" s="54">
        <v>2</v>
      </c>
      <c r="D99" s="56">
        <v>173</v>
      </c>
      <c r="E99" s="61">
        <v>0.39157779600765658</v>
      </c>
      <c r="F99" s="56">
        <v>22.692</v>
      </c>
      <c r="G99" s="59" t="s">
        <v>107</v>
      </c>
    </row>
    <row r="100" spans="1:7" x14ac:dyDescent="0.2">
      <c r="A100" s="53">
        <v>99</v>
      </c>
      <c r="B100" s="52" t="s">
        <v>40</v>
      </c>
      <c r="C100" s="54">
        <v>16</v>
      </c>
      <c r="D100" s="56">
        <v>172</v>
      </c>
      <c r="E100" s="61">
        <v>0.39130434782608697</v>
      </c>
      <c r="F100" s="56">
        <v>130.77000000000001</v>
      </c>
      <c r="G100" s="59" t="s">
        <v>9</v>
      </c>
    </row>
    <row r="101" spans="1:7" x14ac:dyDescent="0.2">
      <c r="A101" s="53">
        <v>100</v>
      </c>
      <c r="B101" s="52" t="s">
        <v>42</v>
      </c>
      <c r="C101" s="54">
        <v>3</v>
      </c>
      <c r="D101" s="56">
        <v>165</v>
      </c>
      <c r="E101" s="61">
        <v>0.38939021055509981</v>
      </c>
      <c r="F101" s="56">
        <v>21.423999999999999</v>
      </c>
      <c r="G101" s="59" t="s">
        <v>9</v>
      </c>
    </row>
    <row r="102" spans="1:7" x14ac:dyDescent="0.2">
      <c r="A102" s="53">
        <v>101</v>
      </c>
      <c r="B102" s="52" t="s">
        <v>79</v>
      </c>
      <c r="C102" s="54">
        <v>16</v>
      </c>
      <c r="D102" s="56">
        <v>1099.75</v>
      </c>
      <c r="E102" s="61">
        <v>0.38873626373626374</v>
      </c>
      <c r="F102" s="56">
        <v>24.288</v>
      </c>
      <c r="G102" s="59" t="s">
        <v>65</v>
      </c>
    </row>
    <row r="103" spans="1:7" x14ac:dyDescent="0.2">
      <c r="A103" s="53">
        <v>102</v>
      </c>
      <c r="B103" s="52" t="s">
        <v>41</v>
      </c>
      <c r="C103" s="54">
        <v>3</v>
      </c>
      <c r="D103" s="56">
        <v>162</v>
      </c>
      <c r="E103" s="61">
        <v>0.38856986601039101</v>
      </c>
      <c r="F103" s="56">
        <v>21.02</v>
      </c>
      <c r="G103" s="59" t="s">
        <v>9</v>
      </c>
    </row>
    <row r="104" spans="1:7" x14ac:dyDescent="0.2">
      <c r="A104" s="53">
        <v>103</v>
      </c>
      <c r="B104" s="52" t="s">
        <v>139</v>
      </c>
      <c r="C104" s="54">
        <v>2</v>
      </c>
      <c r="D104" s="56">
        <v>161</v>
      </c>
      <c r="E104" s="61">
        <v>0.38829641782882146</v>
      </c>
      <c r="F104" s="56">
        <v>20.235999999999997</v>
      </c>
      <c r="G104" s="59" t="s">
        <v>107</v>
      </c>
    </row>
    <row r="105" spans="1:7" x14ac:dyDescent="0.2">
      <c r="A105" s="53">
        <v>104</v>
      </c>
      <c r="B105" s="52" t="s">
        <v>50</v>
      </c>
      <c r="C105" s="54">
        <v>2</v>
      </c>
      <c r="D105" s="56">
        <v>161</v>
      </c>
      <c r="E105" s="61">
        <v>0.38829641782882146</v>
      </c>
      <c r="F105" s="56">
        <v>24.091999999999999</v>
      </c>
      <c r="G105" s="59" t="s">
        <v>9</v>
      </c>
    </row>
    <row r="106" spans="1:7" x14ac:dyDescent="0.2">
      <c r="A106" s="53">
        <v>105</v>
      </c>
      <c r="B106" s="52" t="s">
        <v>136</v>
      </c>
      <c r="C106" s="54">
        <v>4</v>
      </c>
      <c r="D106" s="56">
        <v>157</v>
      </c>
      <c r="E106" s="61">
        <v>0.38720262510254305</v>
      </c>
      <c r="F106" s="56">
        <v>43.91</v>
      </c>
      <c r="G106" s="59" t="s">
        <v>107</v>
      </c>
    </row>
    <row r="107" spans="1:7" x14ac:dyDescent="0.2">
      <c r="A107" s="53">
        <v>106</v>
      </c>
      <c r="B107" s="52" t="s">
        <v>151</v>
      </c>
      <c r="C107" s="54">
        <v>16</v>
      </c>
      <c r="D107" s="56">
        <v>156</v>
      </c>
      <c r="E107" s="61">
        <v>0.38692917692097345</v>
      </c>
      <c r="F107" s="56">
        <v>243.78899999999999</v>
      </c>
      <c r="G107" s="59" t="s">
        <v>107</v>
      </c>
    </row>
    <row r="108" spans="1:7" x14ac:dyDescent="0.2">
      <c r="A108" s="53">
        <v>107</v>
      </c>
      <c r="B108" s="52" t="s">
        <v>86</v>
      </c>
      <c r="C108" s="54">
        <v>16</v>
      </c>
      <c r="D108" s="56">
        <v>1090.2638888888889</v>
      </c>
      <c r="E108" s="61">
        <v>0.38567029375852907</v>
      </c>
      <c r="F108" s="56">
        <v>157.64400000000003</v>
      </c>
      <c r="G108" s="59" t="s">
        <v>65</v>
      </c>
    </row>
    <row r="109" spans="1:7" x14ac:dyDescent="0.2">
      <c r="A109" s="53">
        <v>108</v>
      </c>
      <c r="B109" s="52" t="s">
        <v>44</v>
      </c>
      <c r="C109" s="54">
        <v>3</v>
      </c>
      <c r="D109" s="56">
        <v>147</v>
      </c>
      <c r="E109" s="61">
        <v>0.38446814328684714</v>
      </c>
      <c r="F109" s="56">
        <v>33.363999999999997</v>
      </c>
      <c r="G109" s="59" t="s">
        <v>9</v>
      </c>
    </row>
    <row r="110" spans="1:7" x14ac:dyDescent="0.2">
      <c r="A110" s="53">
        <v>109</v>
      </c>
      <c r="B110" s="52" t="s">
        <v>134</v>
      </c>
      <c r="C110" s="54">
        <v>3</v>
      </c>
      <c r="D110" s="56">
        <v>144</v>
      </c>
      <c r="E110" s="61">
        <v>0.38364779874213839</v>
      </c>
      <c r="F110" s="56">
        <v>66.518999999999991</v>
      </c>
      <c r="G110" s="59" t="s">
        <v>107</v>
      </c>
    </row>
    <row r="111" spans="1:7" x14ac:dyDescent="0.2">
      <c r="A111" s="53">
        <v>110</v>
      </c>
      <c r="B111" s="52" t="s">
        <v>137</v>
      </c>
      <c r="C111" s="54">
        <v>4</v>
      </c>
      <c r="D111" s="56">
        <v>139</v>
      </c>
      <c r="E111" s="61">
        <v>0.38228055783429038</v>
      </c>
      <c r="F111" s="56">
        <v>34.353999999999999</v>
      </c>
      <c r="G111" s="59" t="s">
        <v>107</v>
      </c>
    </row>
    <row r="112" spans="1:7" x14ac:dyDescent="0.2">
      <c r="A112" s="53">
        <v>111</v>
      </c>
      <c r="B112" s="52" t="s">
        <v>66</v>
      </c>
      <c r="C112" s="54">
        <v>16</v>
      </c>
      <c r="D112" s="56">
        <v>1078.75</v>
      </c>
      <c r="E112" s="61">
        <v>0.38194893341952163</v>
      </c>
      <c r="F112" s="56">
        <v>163.29700000000003</v>
      </c>
      <c r="G112" s="59" t="s">
        <v>65</v>
      </c>
    </row>
    <row r="113" spans="1:7" x14ac:dyDescent="0.2">
      <c r="A113" s="53">
        <v>112</v>
      </c>
      <c r="B113" s="52" t="s">
        <v>45</v>
      </c>
      <c r="C113" s="54">
        <v>15</v>
      </c>
      <c r="D113" s="56">
        <v>129</v>
      </c>
      <c r="E113" s="61">
        <v>0.37954607601859447</v>
      </c>
      <c r="F113" s="56">
        <v>139.75</v>
      </c>
      <c r="G113" s="59" t="s">
        <v>9</v>
      </c>
    </row>
    <row r="114" spans="1:7" x14ac:dyDescent="0.2">
      <c r="A114" s="53">
        <v>113</v>
      </c>
      <c r="B114" s="52" t="s">
        <v>138</v>
      </c>
      <c r="C114" s="54">
        <v>4</v>
      </c>
      <c r="D114" s="56">
        <v>127</v>
      </c>
      <c r="E114" s="61">
        <v>0.37899917965545526</v>
      </c>
      <c r="F114" s="56">
        <v>60.378</v>
      </c>
      <c r="G114" s="59" t="s">
        <v>107</v>
      </c>
    </row>
    <row r="115" spans="1:7" x14ac:dyDescent="0.2">
      <c r="A115" s="53">
        <v>114</v>
      </c>
      <c r="B115" s="52" t="s">
        <v>43</v>
      </c>
      <c r="C115" s="54">
        <v>2</v>
      </c>
      <c r="D115" s="56">
        <v>114</v>
      </c>
      <c r="E115" s="61">
        <v>0.3754443532950506</v>
      </c>
      <c r="F115" s="56">
        <v>27.643999999999998</v>
      </c>
      <c r="G115" s="59" t="s">
        <v>9</v>
      </c>
    </row>
    <row r="116" spans="1:7" x14ac:dyDescent="0.2">
      <c r="A116" s="53">
        <v>115</v>
      </c>
      <c r="B116" s="52" t="s">
        <v>47</v>
      </c>
      <c r="C116" s="54">
        <v>2</v>
      </c>
      <c r="D116" s="56">
        <v>93</v>
      </c>
      <c r="E116" s="61">
        <v>0.36970194148208912</v>
      </c>
      <c r="F116" s="56">
        <v>32.94</v>
      </c>
      <c r="G116" s="59" t="s">
        <v>9</v>
      </c>
    </row>
    <row r="117" spans="1:7" x14ac:dyDescent="0.2">
      <c r="A117" s="53">
        <v>116</v>
      </c>
      <c r="B117" s="52" t="s">
        <v>140</v>
      </c>
      <c r="C117" s="54">
        <v>4</v>
      </c>
      <c r="D117" s="56">
        <v>87</v>
      </c>
      <c r="E117" s="61">
        <v>0.36806125239267157</v>
      </c>
      <c r="F117" s="56">
        <v>15.411000000000001</v>
      </c>
      <c r="G117" s="59" t="s">
        <v>107</v>
      </c>
    </row>
    <row r="118" spans="1:7" x14ac:dyDescent="0.2">
      <c r="A118" s="53">
        <v>117</v>
      </c>
      <c r="B118" s="52" t="s">
        <v>48</v>
      </c>
      <c r="C118" s="54">
        <v>1</v>
      </c>
      <c r="D118" s="56">
        <v>84</v>
      </c>
      <c r="E118" s="61">
        <v>0.36724090784796282</v>
      </c>
      <c r="F118" s="56">
        <v>15.502000000000001</v>
      </c>
      <c r="G118" s="59" t="s">
        <v>9</v>
      </c>
    </row>
    <row r="119" spans="1:7" x14ac:dyDescent="0.2">
      <c r="A119" s="53">
        <v>118</v>
      </c>
      <c r="B119" s="52" t="s">
        <v>141</v>
      </c>
      <c r="C119" s="54">
        <v>1</v>
      </c>
      <c r="D119" s="56">
        <v>84</v>
      </c>
      <c r="E119" s="61">
        <v>0.36724090784796282</v>
      </c>
      <c r="F119" s="56">
        <v>21.844000000000001</v>
      </c>
      <c r="G119" s="59" t="s">
        <v>107</v>
      </c>
    </row>
    <row r="120" spans="1:7" x14ac:dyDescent="0.2">
      <c r="A120" s="53">
        <v>119</v>
      </c>
      <c r="B120" s="52" t="s">
        <v>188</v>
      </c>
      <c r="C120" s="54">
        <v>1</v>
      </c>
      <c r="D120" s="56">
        <v>84</v>
      </c>
      <c r="E120" s="61">
        <v>0.36724090784796282</v>
      </c>
      <c r="F120" s="56">
        <v>28.414000000000001</v>
      </c>
      <c r="G120" s="59" t="s">
        <v>107</v>
      </c>
    </row>
    <row r="121" spans="1:7" x14ac:dyDescent="0.2">
      <c r="A121" s="53">
        <v>120</v>
      </c>
      <c r="B121" s="52" t="s">
        <v>49</v>
      </c>
      <c r="C121" s="54">
        <v>4</v>
      </c>
      <c r="D121" s="56">
        <v>84</v>
      </c>
      <c r="E121" s="61">
        <v>0.36724090784796282</v>
      </c>
      <c r="F121" s="56">
        <v>39.614999999999995</v>
      </c>
      <c r="G121" s="59" t="s">
        <v>9</v>
      </c>
    </row>
    <row r="122" spans="1:7" x14ac:dyDescent="0.2">
      <c r="A122" s="53">
        <v>121</v>
      </c>
      <c r="B122" s="52" t="s">
        <v>142</v>
      </c>
      <c r="C122" s="54">
        <v>1</v>
      </c>
      <c r="D122" s="56">
        <v>79</v>
      </c>
      <c r="E122" s="61">
        <v>0.36587366694011486</v>
      </c>
      <c r="F122" s="56">
        <v>10.444000000000001</v>
      </c>
      <c r="G122" s="59" t="s">
        <v>107</v>
      </c>
    </row>
    <row r="123" spans="1:7" x14ac:dyDescent="0.2">
      <c r="A123" s="53">
        <v>122</v>
      </c>
      <c r="B123" s="52" t="s">
        <v>143</v>
      </c>
      <c r="C123" s="54">
        <v>1</v>
      </c>
      <c r="D123" s="56">
        <v>79</v>
      </c>
      <c r="E123" s="61">
        <v>0.36587366694011486</v>
      </c>
      <c r="F123" s="56">
        <v>22.04</v>
      </c>
      <c r="G123" s="59" t="s">
        <v>107</v>
      </c>
    </row>
    <row r="124" spans="1:7" x14ac:dyDescent="0.2">
      <c r="A124" s="53">
        <v>123</v>
      </c>
      <c r="B124" s="52" t="s">
        <v>144</v>
      </c>
      <c r="C124" s="54">
        <v>1</v>
      </c>
      <c r="D124" s="56">
        <v>79</v>
      </c>
      <c r="E124" s="61">
        <v>0.36587366694011486</v>
      </c>
      <c r="F124" s="56">
        <v>30.841999999999999</v>
      </c>
      <c r="G124" s="59" t="s">
        <v>107</v>
      </c>
    </row>
    <row r="125" spans="1:7" x14ac:dyDescent="0.2">
      <c r="A125" s="53">
        <v>124</v>
      </c>
      <c r="B125" s="52" t="s">
        <v>51</v>
      </c>
      <c r="C125" s="54">
        <v>4</v>
      </c>
      <c r="D125" s="56">
        <v>75</v>
      </c>
      <c r="E125" s="61">
        <v>0.36477987421383645</v>
      </c>
      <c r="F125" s="56">
        <v>37.607999999999997</v>
      </c>
      <c r="G125" s="59" t="s">
        <v>9</v>
      </c>
    </row>
    <row r="126" spans="1:7" x14ac:dyDescent="0.2">
      <c r="A126" s="53">
        <v>125</v>
      </c>
      <c r="B126" s="52" t="s">
        <v>52</v>
      </c>
      <c r="C126" s="54">
        <v>3</v>
      </c>
      <c r="D126" s="56">
        <v>75</v>
      </c>
      <c r="E126" s="61">
        <v>0.36477987421383645</v>
      </c>
      <c r="F126" s="56">
        <v>38.795999999999999</v>
      </c>
      <c r="G126" s="59" t="s">
        <v>9</v>
      </c>
    </row>
    <row r="127" spans="1:7" x14ac:dyDescent="0.2">
      <c r="A127" s="53">
        <v>126</v>
      </c>
      <c r="B127" s="52" t="s">
        <v>176</v>
      </c>
      <c r="C127" s="54">
        <v>1</v>
      </c>
      <c r="D127" s="56">
        <v>72</v>
      </c>
      <c r="E127" s="61">
        <v>0.3639595296691277</v>
      </c>
      <c r="F127" s="56">
        <v>11.938000000000001</v>
      </c>
      <c r="G127" s="59" t="s">
        <v>9</v>
      </c>
    </row>
    <row r="128" spans="1:7" x14ac:dyDescent="0.2">
      <c r="A128" s="53">
        <v>127</v>
      </c>
      <c r="B128" s="52" t="s">
        <v>145</v>
      </c>
      <c r="C128" s="54">
        <v>1</v>
      </c>
      <c r="D128" s="56">
        <v>72</v>
      </c>
      <c r="E128" s="61">
        <v>0.3639595296691277</v>
      </c>
      <c r="F128" s="56">
        <v>20.059999999999999</v>
      </c>
      <c r="G128" s="59" t="s">
        <v>107</v>
      </c>
    </row>
    <row r="129" spans="1:7" x14ac:dyDescent="0.2">
      <c r="A129" s="53">
        <v>128</v>
      </c>
      <c r="B129" s="52" t="s">
        <v>174</v>
      </c>
      <c r="C129" s="54">
        <v>2</v>
      </c>
      <c r="D129" s="56">
        <v>72</v>
      </c>
      <c r="E129" s="61">
        <v>0.3639595296691277</v>
      </c>
      <c r="F129" s="56">
        <v>25.946999999999999</v>
      </c>
      <c r="G129" s="59" t="s">
        <v>9</v>
      </c>
    </row>
    <row r="130" spans="1:7" x14ac:dyDescent="0.2">
      <c r="A130" s="53">
        <v>129</v>
      </c>
      <c r="B130" s="52" t="s">
        <v>146</v>
      </c>
      <c r="C130" s="54">
        <v>1</v>
      </c>
      <c r="D130" s="56">
        <v>72</v>
      </c>
      <c r="E130" s="61">
        <v>0.3639595296691277</v>
      </c>
      <c r="F130" s="56">
        <v>25.995999999999999</v>
      </c>
      <c r="G130" s="59" t="s">
        <v>107</v>
      </c>
    </row>
    <row r="131" spans="1:7" x14ac:dyDescent="0.2">
      <c r="A131" s="53">
        <v>130</v>
      </c>
      <c r="B131" s="52" t="s">
        <v>147</v>
      </c>
      <c r="C131" s="54">
        <v>16</v>
      </c>
      <c r="D131" s="56">
        <v>72</v>
      </c>
      <c r="E131" s="61">
        <v>0.3639595296691277</v>
      </c>
      <c r="F131" s="56">
        <v>77.995999999999995</v>
      </c>
      <c r="G131" s="59" t="s">
        <v>107</v>
      </c>
    </row>
    <row r="132" spans="1:7" x14ac:dyDescent="0.2">
      <c r="A132" s="53">
        <v>131</v>
      </c>
      <c r="B132" s="52" t="s">
        <v>55</v>
      </c>
      <c r="C132" s="54">
        <v>2</v>
      </c>
      <c r="D132" s="56">
        <v>68</v>
      </c>
      <c r="E132" s="61">
        <v>0.36286573694284935</v>
      </c>
      <c r="F132" s="56">
        <v>23.669</v>
      </c>
      <c r="G132" s="59" t="s">
        <v>9</v>
      </c>
    </row>
    <row r="133" spans="1:7" x14ac:dyDescent="0.2">
      <c r="A133" s="53">
        <v>132</v>
      </c>
      <c r="B133" s="52" t="s">
        <v>148</v>
      </c>
      <c r="C133" s="54">
        <v>3</v>
      </c>
      <c r="D133" s="56">
        <v>57</v>
      </c>
      <c r="E133" s="61">
        <v>0.35985780694558384</v>
      </c>
      <c r="F133" s="56">
        <v>24.43</v>
      </c>
      <c r="G133" s="59" t="s">
        <v>107</v>
      </c>
    </row>
    <row r="134" spans="1:7" x14ac:dyDescent="0.2">
      <c r="A134" s="53">
        <v>133</v>
      </c>
      <c r="B134" s="52" t="s">
        <v>149</v>
      </c>
      <c r="C134" s="54">
        <v>2</v>
      </c>
      <c r="D134" s="56">
        <v>55</v>
      </c>
      <c r="E134" s="61">
        <v>0.35931091058244463</v>
      </c>
      <c r="F134" s="56">
        <v>39.11</v>
      </c>
      <c r="G134" s="59" t="s">
        <v>107</v>
      </c>
    </row>
    <row r="135" spans="1:7" x14ac:dyDescent="0.2">
      <c r="A135" s="53">
        <v>134</v>
      </c>
      <c r="B135" s="52" t="s">
        <v>186</v>
      </c>
      <c r="C135" s="54">
        <v>1</v>
      </c>
      <c r="D135" s="56">
        <v>52</v>
      </c>
      <c r="E135" s="61">
        <v>0.35849056603773582</v>
      </c>
      <c r="F135" s="56">
        <v>7.0309999999999997</v>
      </c>
      <c r="G135" s="59" t="s">
        <v>107</v>
      </c>
    </row>
    <row r="136" spans="1:7" x14ac:dyDescent="0.2">
      <c r="A136" s="53">
        <v>135</v>
      </c>
      <c r="B136" s="52" t="s">
        <v>46</v>
      </c>
      <c r="C136" s="54">
        <v>1</v>
      </c>
      <c r="D136" s="56">
        <v>52</v>
      </c>
      <c r="E136" s="61">
        <v>0.35849056603773582</v>
      </c>
      <c r="F136" s="56">
        <v>12.191000000000001</v>
      </c>
      <c r="G136" s="59" t="s">
        <v>9</v>
      </c>
    </row>
    <row r="137" spans="1:7" x14ac:dyDescent="0.2">
      <c r="A137" s="53">
        <v>136</v>
      </c>
      <c r="B137" s="52" t="s">
        <v>53</v>
      </c>
      <c r="C137" s="54">
        <v>1</v>
      </c>
      <c r="D137" s="56">
        <v>52</v>
      </c>
      <c r="E137" s="61">
        <v>0.35849056603773582</v>
      </c>
      <c r="F137" s="56">
        <v>17.378</v>
      </c>
      <c r="G137" s="59" t="s">
        <v>9</v>
      </c>
    </row>
    <row r="138" spans="1:7" x14ac:dyDescent="0.2">
      <c r="A138" s="53">
        <v>137</v>
      </c>
      <c r="B138" s="52" t="s">
        <v>54</v>
      </c>
      <c r="C138" s="54">
        <v>1</v>
      </c>
      <c r="D138" s="56">
        <v>46</v>
      </c>
      <c r="E138" s="61">
        <v>0.35684987694831827</v>
      </c>
      <c r="F138" s="56">
        <v>19.344999999999999</v>
      </c>
      <c r="G138" s="59" t="s">
        <v>9</v>
      </c>
    </row>
    <row r="139" spans="1:7" x14ac:dyDescent="0.2">
      <c r="A139" s="53">
        <v>138</v>
      </c>
      <c r="B139" s="52" t="s">
        <v>152</v>
      </c>
      <c r="C139" s="54">
        <v>14</v>
      </c>
      <c r="D139" s="56">
        <v>25</v>
      </c>
      <c r="E139" s="61">
        <v>0.35110746513535684</v>
      </c>
      <c r="F139" s="56">
        <v>97.342999999999989</v>
      </c>
      <c r="G139" s="59" t="s">
        <v>107</v>
      </c>
    </row>
    <row r="140" spans="1:7" x14ac:dyDescent="0.2">
      <c r="A140" s="53">
        <v>139</v>
      </c>
      <c r="B140" s="52" t="s">
        <v>153</v>
      </c>
      <c r="C140" s="54">
        <v>1</v>
      </c>
      <c r="D140" s="56">
        <v>0</v>
      </c>
      <c r="E140" s="61">
        <v>0.34427126059611701</v>
      </c>
      <c r="F140" s="56">
        <v>9.3620000000000001</v>
      </c>
      <c r="G140" s="59" t="s">
        <v>107</v>
      </c>
    </row>
    <row r="141" spans="1:7" x14ac:dyDescent="0.2">
      <c r="A141" s="53">
        <v>140</v>
      </c>
      <c r="B141" s="52" t="s">
        <v>190</v>
      </c>
      <c r="C141" s="54">
        <v>16</v>
      </c>
      <c r="D141" s="56">
        <v>0</v>
      </c>
      <c r="E141" s="61">
        <v>0.34427126059611701</v>
      </c>
      <c r="F141" s="56">
        <v>181.10200000000006</v>
      </c>
      <c r="G141" s="59" t="s">
        <v>107</v>
      </c>
    </row>
    <row r="142" spans="1:7" x14ac:dyDescent="0.2">
      <c r="A142" s="53">
        <v>141</v>
      </c>
      <c r="B142" s="52" t="s">
        <v>154</v>
      </c>
      <c r="C142" s="54">
        <v>16</v>
      </c>
      <c r="D142" s="56">
        <v>0</v>
      </c>
      <c r="E142" s="61">
        <v>0.34427126059611701</v>
      </c>
      <c r="F142" s="56">
        <v>191.541</v>
      </c>
      <c r="G142" s="59" t="s">
        <v>107</v>
      </c>
    </row>
    <row r="143" spans="1:7" x14ac:dyDescent="0.2">
      <c r="A143" s="53">
        <v>142</v>
      </c>
      <c r="B143" s="52" t="s">
        <v>87</v>
      </c>
      <c r="C143" s="54">
        <v>16</v>
      </c>
      <c r="D143" s="56">
        <v>953.5</v>
      </c>
      <c r="E143" s="61">
        <v>0.34146735617323853</v>
      </c>
      <c r="F143" s="56">
        <v>389.35599999999999</v>
      </c>
      <c r="G143" s="59" t="s">
        <v>65</v>
      </c>
    </row>
    <row r="144" spans="1:7" x14ac:dyDescent="0.2">
      <c r="A144" s="53">
        <v>143</v>
      </c>
      <c r="B144" s="52" t="s">
        <v>123</v>
      </c>
      <c r="C144" s="54">
        <v>16</v>
      </c>
      <c r="D144" s="56">
        <v>-25</v>
      </c>
      <c r="E144" s="61">
        <v>0.33743505605687724</v>
      </c>
      <c r="F144" s="56">
        <v>163.01299999999998</v>
      </c>
      <c r="G144" s="59" t="s">
        <v>107</v>
      </c>
    </row>
    <row r="145" spans="1:7" x14ac:dyDescent="0.2">
      <c r="A145" s="53">
        <v>144</v>
      </c>
      <c r="B145" s="52" t="s">
        <v>29</v>
      </c>
      <c r="C145" s="54">
        <v>16</v>
      </c>
      <c r="D145" s="56">
        <v>-41</v>
      </c>
      <c r="E145" s="61">
        <v>0.33305988515176377</v>
      </c>
      <c r="F145" s="56">
        <v>91.013999999999996</v>
      </c>
      <c r="G145" s="59" t="s">
        <v>9</v>
      </c>
    </row>
    <row r="146" spans="1:7" x14ac:dyDescent="0.2">
      <c r="A146" s="53">
        <v>145</v>
      </c>
      <c r="B146" s="52" t="s">
        <v>178</v>
      </c>
      <c r="C146" s="54">
        <v>16</v>
      </c>
      <c r="D146" s="56">
        <v>911.46666666666658</v>
      </c>
      <c r="E146" s="61">
        <v>0.327881921999569</v>
      </c>
      <c r="F146" s="56">
        <v>142.80799999999999</v>
      </c>
      <c r="G146" s="59" t="s">
        <v>65</v>
      </c>
    </row>
    <row r="147" spans="1:7" x14ac:dyDescent="0.2">
      <c r="A147" s="53">
        <v>146</v>
      </c>
      <c r="B147" s="52" t="s">
        <v>57</v>
      </c>
      <c r="C147" s="54">
        <v>16</v>
      </c>
      <c r="D147" s="56">
        <v>-71</v>
      </c>
      <c r="E147" s="61">
        <v>0.32485643970467598</v>
      </c>
      <c r="F147" s="56">
        <v>125.34399999999999</v>
      </c>
      <c r="G147" s="59" t="s">
        <v>9</v>
      </c>
    </row>
    <row r="148" spans="1:7" x14ac:dyDescent="0.2">
      <c r="A148" s="53">
        <v>147</v>
      </c>
      <c r="B148" s="52" t="s">
        <v>59</v>
      </c>
      <c r="C148" s="54">
        <v>16</v>
      </c>
      <c r="D148" s="56">
        <v>-86</v>
      </c>
      <c r="E148" s="61">
        <v>0.32075471698113206</v>
      </c>
      <c r="F148" s="56">
        <v>140.529</v>
      </c>
      <c r="G148" s="59" t="s">
        <v>9</v>
      </c>
    </row>
    <row r="149" spans="1:7" x14ac:dyDescent="0.2">
      <c r="A149" s="53">
        <v>148</v>
      </c>
      <c r="B149" s="52" t="s">
        <v>156</v>
      </c>
      <c r="C149" s="54">
        <v>16</v>
      </c>
      <c r="D149" s="56">
        <v>-95.5</v>
      </c>
      <c r="E149" s="61">
        <v>0.31815695925622095</v>
      </c>
      <c r="F149" s="56">
        <v>584.00799999999992</v>
      </c>
      <c r="G149" s="59" t="s">
        <v>107</v>
      </c>
    </row>
    <row r="150" spans="1:7" x14ac:dyDescent="0.2">
      <c r="A150" s="53">
        <v>149</v>
      </c>
      <c r="B150" s="52" t="s">
        <v>125</v>
      </c>
      <c r="C150" s="54">
        <v>16</v>
      </c>
      <c r="D150" s="56">
        <v>-139</v>
      </c>
      <c r="E150" s="61">
        <v>0.30626196335794365</v>
      </c>
      <c r="F150" s="56">
        <v>132.04500000000002</v>
      </c>
      <c r="G150" s="59" t="s">
        <v>107</v>
      </c>
    </row>
    <row r="151" spans="1:7" x14ac:dyDescent="0.2">
      <c r="A151" s="53">
        <v>150</v>
      </c>
      <c r="B151" s="52" t="s">
        <v>21</v>
      </c>
      <c r="C151" s="54">
        <v>16</v>
      </c>
      <c r="D151" s="56">
        <v>-195</v>
      </c>
      <c r="E151" s="61">
        <v>0.29094886519004648</v>
      </c>
      <c r="F151" s="56">
        <v>173.84000000000003</v>
      </c>
      <c r="G151" s="59" t="s">
        <v>9</v>
      </c>
    </row>
    <row r="152" spans="1:7" x14ac:dyDescent="0.2">
      <c r="A152" s="53">
        <v>151</v>
      </c>
      <c r="B152" s="52" t="s">
        <v>185</v>
      </c>
      <c r="C152" s="54">
        <v>10</v>
      </c>
      <c r="D152" s="56">
        <v>-199</v>
      </c>
      <c r="E152" s="61">
        <v>0.28985507246376813</v>
      </c>
      <c r="F152" s="56">
        <v>198.46100000000001</v>
      </c>
      <c r="G152" s="59" t="s">
        <v>107</v>
      </c>
    </row>
    <row r="153" spans="1:7" x14ac:dyDescent="0.2">
      <c r="A153" s="53">
        <v>152</v>
      </c>
      <c r="B153" s="52" t="s">
        <v>155</v>
      </c>
      <c r="C153" s="54">
        <v>16</v>
      </c>
      <c r="D153" s="56">
        <v>-282.5</v>
      </c>
      <c r="E153" s="61">
        <v>0.26702214930270712</v>
      </c>
      <c r="F153" s="56">
        <v>127.44100000000002</v>
      </c>
      <c r="G153" s="59" t="s">
        <v>107</v>
      </c>
    </row>
    <row r="154" spans="1:7" x14ac:dyDescent="0.2">
      <c r="A154" s="53">
        <v>153</v>
      </c>
      <c r="B154" s="52" t="s">
        <v>118</v>
      </c>
      <c r="C154" s="54">
        <v>16</v>
      </c>
      <c r="D154" s="56">
        <v>-298.5</v>
      </c>
      <c r="E154" s="61">
        <v>0.26264697839759366</v>
      </c>
      <c r="F154" s="56">
        <v>204.65299999999999</v>
      </c>
      <c r="G154" s="59" t="s">
        <v>107</v>
      </c>
    </row>
    <row r="155" spans="1:7" x14ac:dyDescent="0.2">
      <c r="A155" s="53">
        <v>154</v>
      </c>
      <c r="B155" s="52" t="s">
        <v>58</v>
      </c>
      <c r="C155" s="54">
        <v>16</v>
      </c>
      <c r="D155" s="56">
        <v>-311</v>
      </c>
      <c r="E155" s="61">
        <v>0.25922887612797374</v>
      </c>
      <c r="F155" s="56">
        <v>130.965</v>
      </c>
      <c r="G155" s="59" t="s">
        <v>9</v>
      </c>
    </row>
    <row r="156" spans="1:7" x14ac:dyDescent="0.2">
      <c r="A156" s="53">
        <v>155</v>
      </c>
      <c r="B156" s="52" t="s">
        <v>70</v>
      </c>
      <c r="C156" s="54">
        <v>16</v>
      </c>
      <c r="D156" s="56">
        <v>696.25</v>
      </c>
      <c r="E156" s="61">
        <v>0.25832255979314805</v>
      </c>
      <c r="F156" s="56">
        <v>186.14699999999996</v>
      </c>
      <c r="G156" s="59" t="s">
        <v>65</v>
      </c>
    </row>
    <row r="157" spans="1:7" x14ac:dyDescent="0.2">
      <c r="A157" s="53">
        <v>156</v>
      </c>
      <c r="B157" s="52" t="s">
        <v>181</v>
      </c>
      <c r="C157" s="54">
        <v>16</v>
      </c>
      <c r="D157" s="56">
        <v>-397</v>
      </c>
      <c r="E157" s="61">
        <v>0.23571233251298879</v>
      </c>
      <c r="F157" s="56">
        <v>67.683999999999997</v>
      </c>
      <c r="G157" s="59" t="s">
        <v>107</v>
      </c>
    </row>
    <row r="158" spans="1:7" x14ac:dyDescent="0.2">
      <c r="A158" s="53">
        <v>157</v>
      </c>
      <c r="B158" s="52" t="s">
        <v>23</v>
      </c>
      <c r="C158" s="54">
        <v>16</v>
      </c>
      <c r="D158" s="56">
        <v>-427</v>
      </c>
      <c r="E158" s="61">
        <v>0.227508887065901</v>
      </c>
      <c r="F158" s="56">
        <v>180.12</v>
      </c>
      <c r="G158" s="59" t="s">
        <v>9</v>
      </c>
    </row>
    <row r="159" spans="1:7" x14ac:dyDescent="0.2">
      <c r="A159" s="53">
        <v>158</v>
      </c>
      <c r="B159" s="52" t="s">
        <v>61</v>
      </c>
      <c r="C159" s="54">
        <v>16</v>
      </c>
      <c r="D159" s="56">
        <v>-512</v>
      </c>
      <c r="E159" s="61">
        <v>0.20426579163248565</v>
      </c>
      <c r="F159" s="56">
        <v>170.066</v>
      </c>
      <c r="G159" s="59" t="s">
        <v>9</v>
      </c>
    </row>
    <row r="160" spans="1:7" x14ac:dyDescent="0.2">
      <c r="A160" s="53">
        <v>159</v>
      </c>
      <c r="B160" s="52" t="s">
        <v>62</v>
      </c>
      <c r="C160" s="54">
        <v>16</v>
      </c>
      <c r="D160" s="56">
        <v>-514</v>
      </c>
      <c r="E160" s="61">
        <v>0.20371889526934644</v>
      </c>
      <c r="F160" s="56">
        <v>169.958</v>
      </c>
      <c r="G160" s="59" t="s">
        <v>9</v>
      </c>
    </row>
    <row r="161" spans="1:7" x14ac:dyDescent="0.2">
      <c r="A161" s="53">
        <v>160</v>
      </c>
      <c r="B161" s="52" t="s">
        <v>63</v>
      </c>
      <c r="C161" s="54">
        <v>16</v>
      </c>
      <c r="D161" s="56">
        <v>-722</v>
      </c>
      <c r="E161" s="61">
        <v>0.1468416735028712</v>
      </c>
      <c r="F161" s="56">
        <v>246.44299999999998</v>
      </c>
      <c r="G161" s="59" t="s">
        <v>9</v>
      </c>
    </row>
    <row r="162" spans="1:7" x14ac:dyDescent="0.2">
      <c r="A162" s="53">
        <v>161</v>
      </c>
      <c r="B162" s="52" t="s">
        <v>84</v>
      </c>
      <c r="C162" s="54">
        <v>5</v>
      </c>
      <c r="D162" s="56">
        <v>235</v>
      </c>
      <c r="E162" s="61">
        <v>0.1092436974789916</v>
      </c>
      <c r="F162" s="56">
        <v>77.197000000000003</v>
      </c>
      <c r="G162" s="59" t="s">
        <v>65</v>
      </c>
    </row>
    <row r="163" spans="1:7" x14ac:dyDescent="0.2">
      <c r="A163" s="53">
        <v>162</v>
      </c>
      <c r="B163" s="52" t="s">
        <v>82</v>
      </c>
      <c r="C163" s="54">
        <v>4</v>
      </c>
      <c r="D163" s="56">
        <v>223.75</v>
      </c>
      <c r="E163" s="61">
        <v>0.1056076276664512</v>
      </c>
      <c r="F163" s="56">
        <v>20.513000000000002</v>
      </c>
      <c r="G163" s="59" t="s">
        <v>65</v>
      </c>
    </row>
    <row r="164" spans="1:7" x14ac:dyDescent="0.2">
      <c r="A164" s="53">
        <v>163</v>
      </c>
      <c r="B164" s="52" t="s">
        <v>80</v>
      </c>
      <c r="C164" s="54">
        <v>4</v>
      </c>
      <c r="D164" s="56">
        <v>211</v>
      </c>
      <c r="E164" s="61">
        <v>0.10148674854557208</v>
      </c>
      <c r="F164" s="56">
        <v>43.813000000000002</v>
      </c>
      <c r="G164" s="59" t="s">
        <v>65</v>
      </c>
    </row>
    <row r="165" spans="1:7" x14ac:dyDescent="0.2">
      <c r="A165" s="53">
        <v>164</v>
      </c>
      <c r="B165" s="52" t="s">
        <v>103</v>
      </c>
      <c r="C165" s="54">
        <v>4</v>
      </c>
      <c r="D165" s="56">
        <v>185</v>
      </c>
      <c r="E165" s="61">
        <v>9.3083387201034262E-2</v>
      </c>
      <c r="F165" s="56">
        <v>35.942</v>
      </c>
      <c r="G165" s="59" t="s">
        <v>65</v>
      </c>
    </row>
    <row r="166" spans="1:7" x14ac:dyDescent="0.2">
      <c r="A166" s="53">
        <v>165</v>
      </c>
      <c r="B166" s="52" t="s">
        <v>69</v>
      </c>
      <c r="C166" s="54">
        <v>5</v>
      </c>
      <c r="D166" s="56">
        <v>179.41666666666666</v>
      </c>
      <c r="E166" s="61">
        <v>9.1278819219995672E-2</v>
      </c>
      <c r="F166" s="56">
        <v>30.134</v>
      </c>
      <c r="G166" s="59" t="s">
        <v>65</v>
      </c>
    </row>
    <row r="167" spans="1:7" x14ac:dyDescent="0.2">
      <c r="A167" s="53">
        <v>166</v>
      </c>
      <c r="B167" s="52" t="s">
        <v>64</v>
      </c>
      <c r="C167" s="54">
        <v>4</v>
      </c>
      <c r="D167" s="56">
        <v>155.5</v>
      </c>
      <c r="E167" s="61">
        <v>8.3548804137039426E-2</v>
      </c>
      <c r="F167" s="56">
        <v>13.404</v>
      </c>
      <c r="G167" s="59" t="s">
        <v>65</v>
      </c>
    </row>
    <row r="168" spans="1:7" x14ac:dyDescent="0.2">
      <c r="A168" s="53">
        <v>167</v>
      </c>
      <c r="B168" s="52" t="s">
        <v>102</v>
      </c>
      <c r="C168" s="54">
        <v>1</v>
      </c>
      <c r="D168" s="56">
        <v>84</v>
      </c>
      <c r="E168" s="61">
        <v>6.043956043956044E-2</v>
      </c>
      <c r="F168" s="56">
        <v>28.669</v>
      </c>
      <c r="G168" s="59" t="s">
        <v>65</v>
      </c>
    </row>
    <row r="169" spans="1:7" x14ac:dyDescent="0.2">
      <c r="A169" s="53">
        <v>168</v>
      </c>
      <c r="B169" s="52" t="s">
        <v>177</v>
      </c>
      <c r="C169" s="54">
        <v>1</v>
      </c>
      <c r="D169" s="56">
        <v>69.5</v>
      </c>
      <c r="E169" s="61">
        <v>5.5753070458952815E-2</v>
      </c>
      <c r="F169" s="56">
        <v>2.2400000000000002</v>
      </c>
      <c r="G169" s="59" t="s">
        <v>65</v>
      </c>
    </row>
    <row r="170" spans="1:7" x14ac:dyDescent="0.2">
      <c r="A170" s="53">
        <v>169</v>
      </c>
      <c r="B170" s="52" t="s">
        <v>90</v>
      </c>
      <c r="C170" s="54">
        <v>1</v>
      </c>
      <c r="D170" s="56">
        <v>69.5</v>
      </c>
      <c r="E170" s="61">
        <v>5.5753070458952815E-2</v>
      </c>
      <c r="F170" s="56">
        <v>16.535</v>
      </c>
      <c r="G170" s="59" t="s">
        <v>65</v>
      </c>
    </row>
    <row r="171" spans="1:7" x14ac:dyDescent="0.2">
      <c r="A171" s="53">
        <v>170</v>
      </c>
      <c r="B171" s="52" t="s">
        <v>94</v>
      </c>
      <c r="C171" s="54">
        <v>1</v>
      </c>
      <c r="D171" s="56">
        <v>65.5</v>
      </c>
      <c r="E171" s="61">
        <v>5.4460245636716226E-2</v>
      </c>
      <c r="F171" s="56">
        <v>9.6300000000000008</v>
      </c>
      <c r="G171" s="59" t="s">
        <v>65</v>
      </c>
    </row>
    <row r="172" spans="1:7" x14ac:dyDescent="0.2">
      <c r="A172" s="53">
        <v>171</v>
      </c>
      <c r="B172" s="52" t="s">
        <v>77</v>
      </c>
      <c r="C172" s="54">
        <v>1</v>
      </c>
      <c r="D172" s="56">
        <v>46</v>
      </c>
      <c r="E172" s="61">
        <v>4.8157724628312866E-2</v>
      </c>
      <c r="F172" s="56">
        <v>8.2479999999999993</v>
      </c>
      <c r="G172" s="59" t="s">
        <v>65</v>
      </c>
    </row>
    <row r="173" spans="1:7" x14ac:dyDescent="0.2">
      <c r="A173" s="53">
        <v>172</v>
      </c>
      <c r="B173" s="52" t="s">
        <v>89</v>
      </c>
      <c r="C173" s="54">
        <v>1</v>
      </c>
      <c r="D173" s="56">
        <v>46</v>
      </c>
      <c r="E173" s="61">
        <v>4.8157724628312866E-2</v>
      </c>
      <c r="F173" s="56">
        <v>10.59</v>
      </c>
      <c r="G173" s="59" t="s">
        <v>65</v>
      </c>
    </row>
    <row r="174" spans="1:7" x14ac:dyDescent="0.2">
      <c r="A174" s="53"/>
      <c r="B174" s="52"/>
      <c r="C174" s="54"/>
      <c r="D174" s="56"/>
      <c r="E174" s="61"/>
      <c r="F174" s="56"/>
      <c r="G174" s="59"/>
    </row>
    <row r="175" spans="1:7" x14ac:dyDescent="0.2">
      <c r="A175" s="9"/>
      <c r="B175" s="10"/>
      <c r="C175" s="11"/>
      <c r="D175" s="12"/>
      <c r="E175" s="13"/>
      <c r="F175" s="12"/>
      <c r="G175" s="14"/>
    </row>
    <row r="176" spans="1:7" x14ac:dyDescent="0.2">
      <c r="A176" s="9"/>
      <c r="B176" s="10"/>
      <c r="C176" s="11"/>
      <c r="D176" s="12"/>
      <c r="E176" s="13"/>
      <c r="F176" s="12"/>
      <c r="G176" s="14"/>
    </row>
    <row r="177" spans="1:7" x14ac:dyDescent="0.2">
      <c r="A177" s="9"/>
      <c r="B177" s="10"/>
      <c r="C177" s="11"/>
      <c r="D177" s="12"/>
      <c r="E177" s="13"/>
      <c r="F177" s="12"/>
      <c r="G177" s="14"/>
    </row>
    <row r="178" spans="1:7" x14ac:dyDescent="0.2">
      <c r="A178" s="9"/>
      <c r="B178" s="10"/>
      <c r="C178" s="11"/>
      <c r="D178" s="12"/>
      <c r="E178" s="13"/>
      <c r="F178" s="12"/>
      <c r="G178" s="14"/>
    </row>
    <row r="179" spans="1:7" x14ac:dyDescent="0.2">
      <c r="A179" s="9"/>
      <c r="B179" s="10"/>
      <c r="C179" s="11"/>
      <c r="D179" s="12"/>
      <c r="E179" s="13"/>
      <c r="F179" s="12"/>
      <c r="G179" s="14"/>
    </row>
    <row r="180" spans="1:7" x14ac:dyDescent="0.2">
      <c r="A180" s="9"/>
      <c r="B180" s="10"/>
      <c r="C180" s="11"/>
      <c r="D180" s="12"/>
      <c r="E180" s="13"/>
      <c r="F180" s="12"/>
      <c r="G180" s="14"/>
    </row>
    <row r="181" spans="1:7" x14ac:dyDescent="0.2">
      <c r="A181" s="9"/>
      <c r="B181" s="10"/>
      <c r="C181" s="11"/>
      <c r="D181" s="12"/>
      <c r="E181" s="13"/>
      <c r="F181" s="12"/>
      <c r="G181" s="14"/>
    </row>
    <row r="182" spans="1:7" x14ac:dyDescent="0.2">
      <c r="A182" s="9"/>
      <c r="B182" s="10"/>
      <c r="C182" s="11"/>
      <c r="D182" s="12"/>
      <c r="E182" s="13"/>
      <c r="F182" s="12"/>
      <c r="G182" s="14"/>
    </row>
    <row r="183" spans="1:7" x14ac:dyDescent="0.2">
      <c r="A183" s="9"/>
      <c r="B183" s="10"/>
      <c r="C183" s="11"/>
      <c r="D183" s="12"/>
      <c r="E183" s="13"/>
      <c r="F183" s="12"/>
      <c r="G183" s="14"/>
    </row>
    <row r="184" spans="1:7" x14ac:dyDescent="0.2">
      <c r="A184" s="9"/>
      <c r="B184" s="10"/>
      <c r="C184" s="11"/>
      <c r="D184" s="12"/>
      <c r="E184" s="13"/>
      <c r="F184" s="12"/>
      <c r="G184" s="14"/>
    </row>
    <row r="185" spans="1:7" x14ac:dyDescent="0.2">
      <c r="A185" s="9"/>
      <c r="B185" s="10"/>
      <c r="C185" s="11"/>
      <c r="D185" s="12"/>
      <c r="E185" s="13"/>
      <c r="F185" s="12"/>
      <c r="G185" s="14"/>
    </row>
    <row r="186" spans="1:7" x14ac:dyDescent="0.2">
      <c r="A186" s="9"/>
      <c r="B186" s="10"/>
      <c r="C186" s="11"/>
      <c r="D186" s="12"/>
      <c r="E186" s="13"/>
      <c r="F186" s="12"/>
      <c r="G186" s="14"/>
    </row>
    <row r="187" spans="1:7" x14ac:dyDescent="0.2">
      <c r="A187" s="9"/>
      <c r="B187" s="10"/>
      <c r="C187" s="11"/>
      <c r="D187" s="12"/>
      <c r="E187" s="13"/>
      <c r="F187" s="12"/>
      <c r="G187" s="14"/>
    </row>
    <row r="188" spans="1:7" x14ac:dyDescent="0.2">
      <c r="A188" s="9"/>
      <c r="B188" s="10"/>
      <c r="C188" s="11"/>
      <c r="D188" s="12"/>
      <c r="E188" s="13"/>
      <c r="F188" s="12"/>
      <c r="G188" s="14"/>
    </row>
    <row r="189" spans="1:7" x14ac:dyDescent="0.2">
      <c r="A189" s="9"/>
      <c r="B189" s="10"/>
      <c r="C189" s="11"/>
      <c r="D189" s="12"/>
      <c r="E189" s="13"/>
      <c r="F189" s="12"/>
      <c r="G189" s="14"/>
    </row>
    <row r="190" spans="1:7" x14ac:dyDescent="0.2">
      <c r="A190" s="9"/>
      <c r="B190" s="10"/>
      <c r="C190" s="11"/>
      <c r="D190" s="12"/>
      <c r="E190" s="13"/>
      <c r="F190" s="12"/>
      <c r="G190" s="14"/>
    </row>
    <row r="191" spans="1:7" x14ac:dyDescent="0.2">
      <c r="A191" s="9"/>
      <c r="B191" s="10"/>
      <c r="C191" s="11"/>
      <c r="D191" s="12"/>
      <c r="E191" s="13"/>
      <c r="F191" s="12"/>
      <c r="G191" s="14"/>
    </row>
    <row r="192" spans="1:7" x14ac:dyDescent="0.2">
      <c r="A192" s="9"/>
      <c r="B192" s="10"/>
      <c r="C192" s="11"/>
      <c r="D192" s="12"/>
      <c r="E192" s="13"/>
      <c r="F192" s="12"/>
      <c r="G192" s="14"/>
    </row>
    <row r="193" spans="1:7" x14ac:dyDescent="0.2">
      <c r="A193" s="9"/>
      <c r="B193" s="10"/>
      <c r="C193" s="11"/>
      <c r="D193" s="12"/>
      <c r="E193" s="13"/>
      <c r="F193" s="12"/>
      <c r="G193" s="14"/>
    </row>
    <row r="194" spans="1:7" x14ac:dyDescent="0.2">
      <c r="A194" s="9"/>
      <c r="B194" s="10"/>
      <c r="C194" s="11"/>
      <c r="D194" s="12"/>
      <c r="E194" s="13"/>
      <c r="F194" s="12"/>
      <c r="G194" s="14"/>
    </row>
    <row r="195" spans="1:7" x14ac:dyDescent="0.2">
      <c r="A195" s="9"/>
      <c r="B195" s="10"/>
      <c r="C195" s="11"/>
      <c r="D195" s="12"/>
      <c r="E195" s="13"/>
      <c r="F195" s="12"/>
      <c r="G195" s="14"/>
    </row>
    <row r="196" spans="1:7" x14ac:dyDescent="0.2">
      <c r="A196" s="9"/>
      <c r="B196" s="10"/>
      <c r="C196" s="11"/>
      <c r="D196" s="12"/>
      <c r="E196" s="13"/>
      <c r="F196" s="12"/>
      <c r="G196" s="14"/>
    </row>
    <row r="197" spans="1:7" x14ac:dyDescent="0.2">
      <c r="A197" s="9"/>
      <c r="B197" s="10"/>
      <c r="C197" s="11"/>
      <c r="D197" s="12"/>
      <c r="E197" s="13"/>
      <c r="F197" s="12"/>
      <c r="G197" s="14"/>
    </row>
    <row r="198" spans="1:7" x14ac:dyDescent="0.2">
      <c r="A198" s="9"/>
      <c r="B198" s="10"/>
      <c r="C198" s="11"/>
      <c r="D198" s="12"/>
      <c r="E198" s="13"/>
      <c r="F198" s="12"/>
      <c r="G198" s="14"/>
    </row>
    <row r="199" spans="1:7" x14ac:dyDescent="0.2">
      <c r="A199" s="9"/>
      <c r="B199" s="10"/>
      <c r="C199" s="11"/>
      <c r="D199" s="12"/>
      <c r="E199" s="13"/>
      <c r="F199" s="12"/>
      <c r="G199" s="14"/>
    </row>
    <row r="200" spans="1:7" x14ac:dyDescent="0.2">
      <c r="A200" s="9"/>
      <c r="B200" s="10"/>
      <c r="C200" s="11"/>
      <c r="D200" s="12"/>
      <c r="E200" s="13"/>
      <c r="F200" s="12"/>
      <c r="G200" s="14"/>
    </row>
    <row r="201" spans="1:7" x14ac:dyDescent="0.2">
      <c r="A201" s="9"/>
      <c r="B201" s="10"/>
      <c r="C201" s="11"/>
      <c r="D201" s="12"/>
      <c r="E201" s="13"/>
      <c r="F201" s="12"/>
      <c r="G201" s="14"/>
    </row>
    <row r="202" spans="1:7" x14ac:dyDescent="0.2">
      <c r="A202" s="9"/>
      <c r="B202" s="10"/>
      <c r="C202" s="11"/>
      <c r="D202" s="12"/>
      <c r="E202" s="13"/>
      <c r="F202" s="12"/>
      <c r="G202" s="14"/>
    </row>
    <row r="203" spans="1:7" x14ac:dyDescent="0.2">
      <c r="A203" s="9"/>
      <c r="B203" s="10"/>
      <c r="C203" s="11"/>
      <c r="D203" s="12"/>
      <c r="E203" s="13"/>
      <c r="F203" s="12"/>
      <c r="G203" s="14"/>
    </row>
    <row r="204" spans="1:7" x14ac:dyDescent="0.2">
      <c r="A204" s="9"/>
      <c r="B204" s="10"/>
      <c r="C204" s="11"/>
      <c r="D204" s="12"/>
      <c r="E204" s="13"/>
      <c r="F204" s="12"/>
      <c r="G204" s="14"/>
    </row>
    <row r="205" spans="1:7" x14ac:dyDescent="0.2">
      <c r="A205" s="9"/>
      <c r="B205" s="10"/>
      <c r="C205" s="11"/>
      <c r="D205" s="12"/>
      <c r="E205" s="13"/>
      <c r="F205" s="12"/>
      <c r="G205" s="14"/>
    </row>
    <row r="206" spans="1:7" x14ac:dyDescent="0.2">
      <c r="A206" s="9"/>
      <c r="B206" s="10"/>
      <c r="C206" s="11"/>
      <c r="D206" s="12"/>
      <c r="E206" s="13"/>
      <c r="F206" s="12"/>
      <c r="G206" s="14"/>
    </row>
    <row r="207" spans="1:7" x14ac:dyDescent="0.2">
      <c r="A207" s="9"/>
      <c r="B207" s="10"/>
      <c r="C207" s="11"/>
      <c r="D207" s="12"/>
      <c r="E207" s="13"/>
      <c r="F207" s="12"/>
      <c r="G207" s="14"/>
    </row>
    <row r="208" spans="1:7" x14ac:dyDescent="0.2">
      <c r="A208" s="9"/>
      <c r="B208" s="10"/>
      <c r="C208" s="11"/>
      <c r="D208" s="12"/>
      <c r="E208" s="13"/>
      <c r="F208" s="12"/>
      <c r="G208" s="14"/>
    </row>
    <row r="209" spans="1:7" x14ac:dyDescent="0.2">
      <c r="A209" s="9"/>
      <c r="B209" s="10"/>
      <c r="C209" s="11"/>
      <c r="D209" s="12"/>
      <c r="E209" s="13"/>
      <c r="F209" s="12"/>
      <c r="G209" s="14"/>
    </row>
    <row r="210" spans="1:7" x14ac:dyDescent="0.2">
      <c r="A210" s="9"/>
      <c r="B210" s="10"/>
      <c r="C210" s="11"/>
      <c r="D210" s="12"/>
      <c r="E210" s="13"/>
      <c r="F210" s="12"/>
      <c r="G210" s="14"/>
    </row>
    <row r="211" spans="1:7" x14ac:dyDescent="0.2">
      <c r="A211" s="9"/>
      <c r="B211" s="10"/>
      <c r="C211" s="11"/>
      <c r="D211" s="12"/>
      <c r="E211" s="13"/>
      <c r="F211" s="12"/>
      <c r="G211" s="14"/>
    </row>
    <row r="212" spans="1:7" x14ac:dyDescent="0.2">
      <c r="A212" s="9"/>
      <c r="B212" s="10"/>
      <c r="C212" s="11"/>
      <c r="D212" s="12"/>
      <c r="E212" s="13"/>
      <c r="F212" s="12"/>
      <c r="G212" s="14"/>
    </row>
    <row r="213" spans="1:7" x14ac:dyDescent="0.2">
      <c r="A213" s="9"/>
      <c r="B213" s="10"/>
      <c r="C213" s="11"/>
      <c r="D213" s="12"/>
      <c r="E213" s="13"/>
      <c r="F213" s="12"/>
      <c r="G213" s="14"/>
    </row>
    <row r="214" spans="1:7" x14ac:dyDescent="0.2">
      <c r="A214" s="9"/>
      <c r="B214" s="10"/>
      <c r="C214" s="11"/>
      <c r="D214" s="12"/>
      <c r="E214" s="13"/>
      <c r="F214" s="12"/>
      <c r="G214" s="14"/>
    </row>
    <row r="215" spans="1:7" x14ac:dyDescent="0.2">
      <c r="A215" s="9"/>
      <c r="B215" s="10"/>
      <c r="C215" s="11"/>
      <c r="D215" s="12"/>
      <c r="E215" s="13"/>
      <c r="F215" s="12"/>
      <c r="G215" s="14"/>
    </row>
    <row r="216" spans="1:7" x14ac:dyDescent="0.2">
      <c r="A216" s="9"/>
      <c r="B216" s="10"/>
      <c r="C216" s="11"/>
      <c r="D216" s="12"/>
      <c r="E216" s="13"/>
      <c r="F216" s="12"/>
      <c r="G216" s="14"/>
    </row>
    <row r="217" spans="1:7" x14ac:dyDescent="0.2">
      <c r="A217" s="9"/>
      <c r="B217" s="10"/>
      <c r="C217" s="11"/>
      <c r="D217" s="12"/>
      <c r="E217" s="13"/>
      <c r="F217" s="12"/>
      <c r="G217" s="14"/>
    </row>
    <row r="218" spans="1:7" x14ac:dyDescent="0.2">
      <c r="A218" s="9"/>
      <c r="B218" s="10"/>
      <c r="C218" s="11"/>
      <c r="D218" s="12"/>
      <c r="E218" s="13"/>
      <c r="F218" s="12"/>
      <c r="G218" s="14"/>
    </row>
    <row r="219" spans="1:7" x14ac:dyDescent="0.2">
      <c r="A219" s="9"/>
      <c r="B219" s="10"/>
      <c r="C219" s="11"/>
      <c r="D219" s="12"/>
      <c r="E219" s="13"/>
      <c r="F219" s="12"/>
      <c r="G219" s="14"/>
    </row>
    <row r="220" spans="1:7" x14ac:dyDescent="0.2">
      <c r="A220" s="9"/>
      <c r="B220" s="10"/>
      <c r="C220" s="11"/>
      <c r="D220" s="12"/>
      <c r="E220" s="13"/>
      <c r="F220" s="12"/>
      <c r="G220" s="14"/>
    </row>
    <row r="221" spans="1:7" x14ac:dyDescent="0.2">
      <c r="A221" s="9"/>
      <c r="B221" s="10"/>
      <c r="C221" s="11"/>
      <c r="D221" s="12"/>
      <c r="E221" s="13"/>
      <c r="F221" s="12"/>
      <c r="G221" s="14"/>
    </row>
    <row r="222" spans="1:7" x14ac:dyDescent="0.2">
      <c r="A222" s="9"/>
      <c r="B222" s="10"/>
      <c r="C222" s="11"/>
      <c r="D222" s="12"/>
      <c r="E222" s="13"/>
      <c r="F222" s="12"/>
      <c r="G222" s="14"/>
    </row>
    <row r="223" spans="1:7" x14ac:dyDescent="0.2">
      <c r="A223" s="9"/>
      <c r="B223" s="10"/>
      <c r="C223" s="11"/>
      <c r="D223" s="12"/>
      <c r="E223" s="13"/>
      <c r="F223" s="12"/>
      <c r="G223" s="14"/>
    </row>
    <row r="224" spans="1:7" x14ac:dyDescent="0.2">
      <c r="A224" s="9"/>
      <c r="B224" s="10"/>
      <c r="C224" s="11"/>
      <c r="D224" s="12"/>
      <c r="E224" s="13"/>
      <c r="F224" s="12"/>
      <c r="G224" s="14"/>
    </row>
    <row r="225" spans="1:7" x14ac:dyDescent="0.2">
      <c r="A225" s="9"/>
      <c r="B225" s="10"/>
      <c r="C225" s="11"/>
      <c r="D225" s="12"/>
      <c r="E225" s="13"/>
      <c r="F225" s="12"/>
      <c r="G225" s="14"/>
    </row>
    <row r="226" spans="1:7" x14ac:dyDescent="0.2">
      <c r="A226" s="9"/>
      <c r="B226" s="10"/>
      <c r="C226" s="11"/>
      <c r="D226" s="12"/>
      <c r="E226" s="13"/>
      <c r="F226" s="12"/>
      <c r="G226" s="14"/>
    </row>
    <row r="227" spans="1:7" x14ac:dyDescent="0.2">
      <c r="A227" s="9"/>
      <c r="B227" s="10"/>
      <c r="C227" s="11"/>
      <c r="D227" s="12"/>
      <c r="E227" s="13"/>
      <c r="F227" s="12"/>
      <c r="G227" s="14"/>
    </row>
    <row r="228" spans="1:7" x14ac:dyDescent="0.2">
      <c r="A228" s="9"/>
      <c r="B228" s="10"/>
      <c r="C228" s="11"/>
      <c r="D228" s="12"/>
      <c r="E228" s="13"/>
      <c r="F228" s="12"/>
      <c r="G228" s="14"/>
    </row>
    <row r="229" spans="1:7" x14ac:dyDescent="0.2">
      <c r="A229" s="9"/>
      <c r="B229" s="10"/>
      <c r="C229" s="11"/>
      <c r="D229" s="12"/>
      <c r="E229" s="13"/>
      <c r="F229" s="12"/>
      <c r="G229" s="14"/>
    </row>
    <row r="230" spans="1:7" x14ac:dyDescent="0.2">
      <c r="A230" s="9"/>
      <c r="B230" s="10"/>
      <c r="C230" s="11"/>
      <c r="D230" s="12"/>
      <c r="E230" s="13"/>
      <c r="F230" s="12"/>
      <c r="G230" s="14"/>
    </row>
    <row r="231" spans="1:7" x14ac:dyDescent="0.2">
      <c r="A231" s="9"/>
      <c r="B231" s="10"/>
      <c r="C231" s="11"/>
      <c r="D231" s="12"/>
      <c r="E231" s="13"/>
      <c r="F231" s="12"/>
      <c r="G231" s="14"/>
    </row>
    <row r="232" spans="1:7" x14ac:dyDescent="0.2">
      <c r="A232" s="9"/>
      <c r="B232" s="10"/>
      <c r="C232" s="11"/>
      <c r="D232" s="12"/>
      <c r="E232" s="13"/>
      <c r="F232" s="12"/>
      <c r="G232" s="14"/>
    </row>
    <row r="233" spans="1:7" x14ac:dyDescent="0.2">
      <c r="A233" s="9"/>
      <c r="B233" s="10"/>
      <c r="C233" s="11"/>
      <c r="D233" s="12"/>
      <c r="E233" s="13"/>
      <c r="F233" s="12"/>
      <c r="G233" s="14"/>
    </row>
    <row r="234" spans="1:7" x14ac:dyDescent="0.2">
      <c r="A234" s="9"/>
      <c r="B234" s="10"/>
      <c r="C234" s="11"/>
      <c r="D234" s="12"/>
      <c r="E234" s="13"/>
      <c r="F234" s="12"/>
      <c r="G234" s="14"/>
    </row>
    <row r="235" spans="1:7" x14ac:dyDescent="0.2">
      <c r="A235" s="9"/>
      <c r="B235" s="10"/>
      <c r="C235" s="11"/>
      <c r="D235" s="12"/>
      <c r="E235" s="13"/>
      <c r="F235" s="12"/>
      <c r="G235" s="14"/>
    </row>
    <row r="236" spans="1:7" x14ac:dyDescent="0.2">
      <c r="A236" s="9"/>
      <c r="B236" s="10"/>
      <c r="C236" s="11"/>
      <c r="D236" s="12"/>
      <c r="E236" s="13"/>
      <c r="F236" s="12"/>
      <c r="G236" s="14"/>
    </row>
    <row r="237" spans="1:7" x14ac:dyDescent="0.2">
      <c r="A237" s="9"/>
      <c r="B237" s="10"/>
      <c r="C237" s="11"/>
      <c r="D237" s="12"/>
      <c r="E237" s="13"/>
      <c r="F237" s="12"/>
      <c r="G237" s="14"/>
    </row>
    <row r="238" spans="1:7" x14ac:dyDescent="0.2">
      <c r="A238" s="9"/>
      <c r="B238" s="10"/>
      <c r="C238" s="11"/>
      <c r="D238" s="12"/>
      <c r="E238" s="13"/>
      <c r="F238" s="12"/>
      <c r="G238" s="14"/>
    </row>
    <row r="239" spans="1:7" x14ac:dyDescent="0.2">
      <c r="A239" s="9"/>
      <c r="B239" s="10"/>
      <c r="C239" s="11"/>
      <c r="D239" s="12"/>
      <c r="E239" s="13"/>
      <c r="F239" s="12"/>
      <c r="G239" s="14"/>
    </row>
    <row r="240" spans="1:7" x14ac:dyDescent="0.2">
      <c r="A240" s="9"/>
      <c r="B240" s="10"/>
      <c r="C240" s="11"/>
      <c r="D240" s="12"/>
      <c r="E240" s="13"/>
      <c r="F240" s="12"/>
      <c r="G240" s="14"/>
    </row>
    <row r="241" spans="1:7" x14ac:dyDescent="0.2">
      <c r="A241" s="9"/>
      <c r="B241" s="10"/>
      <c r="C241" s="11"/>
      <c r="D241" s="12"/>
      <c r="E241" s="13"/>
      <c r="F241" s="12"/>
      <c r="G241" s="14"/>
    </row>
    <row r="242" spans="1:7" x14ac:dyDescent="0.2">
      <c r="A242" s="9"/>
      <c r="B242" s="10"/>
      <c r="C242" s="11"/>
      <c r="D242" s="12"/>
      <c r="E242" s="13"/>
      <c r="F242" s="12"/>
      <c r="G242" s="14"/>
    </row>
    <row r="243" spans="1:7" x14ac:dyDescent="0.2">
      <c r="A243" s="9"/>
      <c r="B243" s="10"/>
      <c r="C243" s="11"/>
      <c r="D243" s="12"/>
      <c r="E243" s="13"/>
      <c r="F243" s="12"/>
      <c r="G243" s="14"/>
    </row>
    <row r="244" spans="1:7" x14ac:dyDescent="0.2">
      <c r="A244" s="9"/>
      <c r="B244" s="10"/>
      <c r="C244" s="11"/>
      <c r="D244" s="12"/>
      <c r="E244" s="13"/>
      <c r="F244" s="12"/>
      <c r="G244" s="14"/>
    </row>
    <row r="245" spans="1:7" x14ac:dyDescent="0.2">
      <c r="A245" s="9"/>
      <c r="B245" s="10"/>
      <c r="C245" s="11"/>
      <c r="D245" s="12"/>
      <c r="E245" s="13"/>
      <c r="F245" s="12"/>
      <c r="G245" s="14"/>
    </row>
    <row r="246" spans="1:7" x14ac:dyDescent="0.2">
      <c r="A246" s="9"/>
      <c r="B246" s="10"/>
      <c r="C246" s="11"/>
      <c r="D246" s="12"/>
      <c r="E246" s="13"/>
      <c r="F246" s="12"/>
      <c r="G246" s="14"/>
    </row>
    <row r="247" spans="1:7" x14ac:dyDescent="0.2">
      <c r="A247" s="9"/>
      <c r="B247" s="10"/>
      <c r="C247" s="11"/>
      <c r="D247" s="12"/>
      <c r="E247" s="13"/>
      <c r="F247" s="12"/>
      <c r="G247" s="14"/>
    </row>
    <row r="248" spans="1:7" x14ac:dyDescent="0.2">
      <c r="A248" s="9"/>
      <c r="B248" s="10"/>
      <c r="C248" s="11"/>
      <c r="D248" s="12"/>
      <c r="E248" s="13"/>
      <c r="F248" s="12"/>
      <c r="G248" s="14"/>
    </row>
    <row r="249" spans="1:7" x14ac:dyDescent="0.2">
      <c r="A249" s="9"/>
      <c r="B249" s="10"/>
      <c r="C249" s="11"/>
      <c r="D249" s="12"/>
      <c r="E249" s="13"/>
      <c r="F249" s="12"/>
      <c r="G249" s="14"/>
    </row>
    <row r="250" spans="1:7" x14ac:dyDescent="0.2">
      <c r="A250" s="9"/>
      <c r="B250" s="10"/>
      <c r="C250" s="11"/>
      <c r="D250" s="12"/>
      <c r="E250" s="13"/>
      <c r="F250" s="12"/>
      <c r="G250" s="14"/>
    </row>
    <row r="251" spans="1:7" x14ac:dyDescent="0.2">
      <c r="A251" s="9"/>
      <c r="B251" s="10"/>
      <c r="C251" s="11"/>
      <c r="D251" s="12"/>
      <c r="E251" s="13"/>
      <c r="F251" s="12"/>
      <c r="G251" s="14"/>
    </row>
    <row r="252" spans="1:7" x14ac:dyDescent="0.2">
      <c r="A252" s="9"/>
      <c r="B252" s="10"/>
      <c r="C252" s="11"/>
      <c r="D252" s="12"/>
      <c r="E252" s="13"/>
      <c r="F252" s="12"/>
      <c r="G252" s="14"/>
    </row>
    <row r="253" spans="1:7" x14ac:dyDescent="0.2">
      <c r="A253" s="9"/>
      <c r="B253" s="10"/>
      <c r="C253" s="11"/>
      <c r="D253" s="12"/>
      <c r="E253" s="13"/>
      <c r="F253" s="12"/>
      <c r="G253" s="14"/>
    </row>
    <row r="254" spans="1:7" x14ac:dyDescent="0.2">
      <c r="A254" s="9"/>
      <c r="B254" s="10"/>
      <c r="C254" s="11"/>
      <c r="D254" s="12"/>
      <c r="E254" s="13"/>
      <c r="F254" s="12"/>
      <c r="G254" s="14"/>
    </row>
    <row r="255" spans="1:7" x14ac:dyDescent="0.2">
      <c r="A255" s="9"/>
      <c r="B255" s="10"/>
      <c r="C255" s="11"/>
      <c r="D255" s="12"/>
      <c r="E255" s="13"/>
      <c r="F255" s="12"/>
      <c r="G255" s="14"/>
    </row>
    <row r="256" spans="1:7" x14ac:dyDescent="0.2">
      <c r="A256" s="9"/>
      <c r="B256" s="10"/>
      <c r="C256" s="11"/>
      <c r="D256" s="12"/>
      <c r="E256" s="13"/>
      <c r="F256" s="12"/>
      <c r="G256" s="14"/>
    </row>
    <row r="257" spans="1:7" x14ac:dyDescent="0.2">
      <c r="A257" s="9"/>
      <c r="B257" s="10"/>
      <c r="C257" s="11"/>
      <c r="D257" s="12"/>
      <c r="E257" s="13"/>
      <c r="F257" s="12"/>
      <c r="G257" s="14"/>
    </row>
    <row r="258" spans="1:7" x14ac:dyDescent="0.2">
      <c r="A258" s="9"/>
      <c r="B258" s="10"/>
      <c r="C258" s="11"/>
      <c r="D258" s="12"/>
      <c r="E258" s="13"/>
      <c r="F258" s="12"/>
      <c r="G258" s="14"/>
    </row>
    <row r="259" spans="1:7" x14ac:dyDescent="0.2">
      <c r="A259" s="9"/>
      <c r="B259" s="10"/>
      <c r="C259" s="11"/>
      <c r="D259" s="12"/>
      <c r="E259" s="13"/>
      <c r="F259" s="12"/>
      <c r="G259" s="14"/>
    </row>
    <row r="260" spans="1:7" x14ac:dyDescent="0.2">
      <c r="A260" s="9"/>
      <c r="B260" s="10"/>
      <c r="C260" s="11"/>
      <c r="D260" s="12"/>
      <c r="E260" s="13"/>
      <c r="F260" s="12"/>
      <c r="G260" s="14"/>
    </row>
    <row r="261" spans="1:7" x14ac:dyDescent="0.2">
      <c r="A261" s="9"/>
      <c r="B261" s="10"/>
      <c r="C261" s="11"/>
      <c r="D261" s="12"/>
      <c r="E261" s="13"/>
      <c r="F261" s="12"/>
      <c r="G261" s="14"/>
    </row>
    <row r="262" spans="1:7" ht="13.5" thickBot="1" x14ac:dyDescent="0.25">
      <c r="A262" s="15"/>
      <c r="B262" s="16"/>
      <c r="C262" s="17"/>
      <c r="D262" s="18"/>
      <c r="E262" s="19"/>
      <c r="F262" s="18"/>
      <c r="G262" s="20"/>
    </row>
    <row r="263" spans="1:7" x14ac:dyDescent="0.2">
      <c r="A263" s="1"/>
      <c r="B263" s="1"/>
      <c r="C263" s="1"/>
      <c r="D263" s="1"/>
      <c r="E263" s="1"/>
      <c r="F263" s="1"/>
      <c r="G263" s="1"/>
    </row>
    <row r="264" spans="1:7" x14ac:dyDescent="0.2">
      <c r="A264" s="1"/>
      <c r="B264" s="1"/>
      <c r="C264" s="1"/>
      <c r="D264" s="1"/>
      <c r="E264" s="1"/>
      <c r="F264" s="1"/>
      <c r="G264" s="1"/>
    </row>
    <row r="265" spans="1:7" x14ac:dyDescent="0.2">
      <c r="A265" s="1"/>
      <c r="B265" s="1"/>
      <c r="C265" s="1"/>
      <c r="D265" s="1"/>
      <c r="E265" s="1"/>
      <c r="F265" s="1"/>
      <c r="G265" s="1"/>
    </row>
    <row r="266" spans="1:7" x14ac:dyDescent="0.2">
      <c r="A266" s="1"/>
      <c r="B266" s="1"/>
      <c r="C266" s="1"/>
      <c r="D266" s="1"/>
      <c r="E266" s="1"/>
      <c r="F266" s="1"/>
      <c r="G266" s="1"/>
    </row>
    <row r="267" spans="1:7" x14ac:dyDescent="0.2">
      <c r="A267" s="21"/>
      <c r="B267" s="21"/>
      <c r="C267" s="21"/>
      <c r="D267" s="21"/>
      <c r="E267" s="21"/>
      <c r="F267" s="21"/>
      <c r="G267" s="21"/>
    </row>
    <row r="268" spans="1:7" x14ac:dyDescent="0.2">
      <c r="A268" s="21"/>
      <c r="B268" s="21"/>
      <c r="C268" s="21"/>
      <c r="D268" s="21"/>
      <c r="E268" s="21"/>
      <c r="F268" s="21"/>
      <c r="G268" s="21"/>
    </row>
    <row r="269" spans="1:7" x14ac:dyDescent="0.2">
      <c r="A269" s="21"/>
      <c r="B269" s="21"/>
      <c r="C269" s="21"/>
      <c r="D269" s="21"/>
      <c r="E269" s="21"/>
      <c r="F269" s="21"/>
      <c r="G269" s="21"/>
    </row>
    <row r="270" spans="1:7" x14ac:dyDescent="0.2">
      <c r="A270" s="21"/>
      <c r="B270" s="21"/>
      <c r="C270" s="21"/>
      <c r="D270" s="21"/>
      <c r="E270" s="21"/>
      <c r="F270" s="21"/>
      <c r="G270" s="21"/>
    </row>
    <row r="271" spans="1:7" x14ac:dyDescent="0.2">
      <c r="A271" s="21"/>
      <c r="B271" s="21"/>
      <c r="C271" s="21"/>
      <c r="D271" s="21"/>
      <c r="E271" s="21"/>
      <c r="F271" s="21"/>
      <c r="G271" s="21"/>
    </row>
  </sheetData>
  <autoFilter ref="A1:G269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O271"/>
  <sheetViews>
    <sheetView workbookViewId="0">
      <selection activeCell="O1" sqref="A1:O1048576"/>
    </sheetView>
  </sheetViews>
  <sheetFormatPr baseColWidth="10" defaultRowHeight="12.75" x14ac:dyDescent="0.2"/>
  <cols>
    <col min="2" max="2" width="17.140625" customWidth="1"/>
    <col min="3" max="3" width="24" customWidth="1"/>
    <col min="4" max="4" width="8.28515625" customWidth="1"/>
    <col min="5" max="6" width="16.7109375" customWidth="1"/>
    <col min="7" max="7" width="15.28515625" customWidth="1"/>
    <col min="8" max="8" width="21.7109375" customWidth="1"/>
    <col min="9" max="9" width="6.42578125" bestFit="1" customWidth="1"/>
    <col min="10" max="10" width="8" bestFit="1" customWidth="1"/>
    <col min="11" max="11" width="8" style="49" customWidth="1"/>
    <col min="12" max="12" width="6" bestFit="1" customWidth="1"/>
    <col min="13" max="13" width="8.42578125" bestFit="1" customWidth="1"/>
    <col min="14" max="14" width="6" bestFit="1" customWidth="1"/>
    <col min="15" max="15" width="4" bestFit="1" customWidth="1"/>
  </cols>
  <sheetData>
    <row r="1" spans="1:15" ht="15" x14ac:dyDescent="0.2">
      <c r="A1" s="62" t="s">
        <v>191</v>
      </c>
      <c r="B1" s="62" t="s">
        <v>2</v>
      </c>
      <c r="C1" s="62" t="s">
        <v>3</v>
      </c>
      <c r="D1" s="62" t="s">
        <v>4</v>
      </c>
      <c r="E1" s="62" t="s">
        <v>5</v>
      </c>
      <c r="F1" s="62" t="s">
        <v>6</v>
      </c>
      <c r="G1" s="62" t="s">
        <v>7</v>
      </c>
      <c r="H1" s="62" t="s">
        <v>164</v>
      </c>
      <c r="I1" s="24" t="s">
        <v>303</v>
      </c>
      <c r="J1" s="23" t="s">
        <v>302</v>
      </c>
      <c r="K1" s="23" t="s">
        <v>165</v>
      </c>
      <c r="L1" s="23" t="s">
        <v>166</v>
      </c>
      <c r="M1" s="23" t="s">
        <v>167</v>
      </c>
      <c r="N1" s="29" t="s">
        <v>168</v>
      </c>
      <c r="O1" s="29" t="s">
        <v>169</v>
      </c>
    </row>
    <row r="2" spans="1:15" ht="15" x14ac:dyDescent="0.25">
      <c r="A2" s="53">
        <v>1</v>
      </c>
      <c r="B2" s="52" t="s">
        <v>106</v>
      </c>
      <c r="C2" s="54">
        <v>16</v>
      </c>
      <c r="D2" s="56">
        <v>1766</v>
      </c>
      <c r="E2" s="61">
        <v>0.82718074924801799</v>
      </c>
      <c r="F2" s="56">
        <v>219.65899999999999</v>
      </c>
      <c r="G2" s="59" t="s">
        <v>107</v>
      </c>
      <c r="H2" s="64" t="s">
        <v>192</v>
      </c>
      <c r="I2" s="25">
        <v>50</v>
      </c>
      <c r="J2" s="22">
        <v>25</v>
      </c>
      <c r="K2" s="22">
        <f>I2+J2</f>
        <v>75</v>
      </c>
      <c r="L2" s="22"/>
      <c r="M2" s="22"/>
      <c r="N2">
        <f>ROUND(E2*100,2)</f>
        <v>82.72</v>
      </c>
      <c r="O2" s="28">
        <f>ROUND(F2,0)</f>
        <v>220</v>
      </c>
    </row>
    <row r="3" spans="1:15" ht="15" x14ac:dyDescent="0.25">
      <c r="A3" s="53">
        <v>2</v>
      </c>
      <c r="B3" s="52" t="s">
        <v>108</v>
      </c>
      <c r="C3" s="54">
        <v>16</v>
      </c>
      <c r="D3" s="56">
        <v>1448</v>
      </c>
      <c r="E3" s="61">
        <v>0.74022422750888694</v>
      </c>
      <c r="F3" s="56">
        <v>261.86900000000003</v>
      </c>
      <c r="G3" s="59" t="s">
        <v>107</v>
      </c>
      <c r="H3" s="64" t="s">
        <v>193</v>
      </c>
      <c r="I3" s="25">
        <v>45</v>
      </c>
      <c r="J3" s="22"/>
      <c r="K3" s="22">
        <f t="shared" ref="K3:K66" si="0">I3+J3</f>
        <v>45</v>
      </c>
      <c r="L3" s="22"/>
      <c r="M3" s="22"/>
      <c r="N3">
        <f t="shared" ref="N3:N66" si="1">ROUND(E3*100,2)</f>
        <v>74.02</v>
      </c>
      <c r="O3" s="28">
        <f t="shared" ref="O3:O66" si="2">ROUND(F3,0)</f>
        <v>262</v>
      </c>
    </row>
    <row r="4" spans="1:15" ht="15" x14ac:dyDescent="0.25">
      <c r="A4" s="53">
        <v>3</v>
      </c>
      <c r="B4" s="52" t="s">
        <v>119</v>
      </c>
      <c r="C4" s="54">
        <v>16</v>
      </c>
      <c r="D4" s="56">
        <v>1309</v>
      </c>
      <c r="E4" s="61">
        <v>0.70221493027071402</v>
      </c>
      <c r="F4" s="56">
        <v>364.58100000000002</v>
      </c>
      <c r="G4" s="59" t="s">
        <v>107</v>
      </c>
      <c r="H4" s="64" t="s">
        <v>194</v>
      </c>
      <c r="I4" s="25">
        <v>40</v>
      </c>
      <c r="J4" s="22"/>
      <c r="K4" s="22">
        <f t="shared" si="0"/>
        <v>40</v>
      </c>
      <c r="L4" s="22"/>
      <c r="M4" s="22"/>
      <c r="N4">
        <f t="shared" si="1"/>
        <v>70.22</v>
      </c>
      <c r="O4" s="28">
        <f t="shared" si="2"/>
        <v>365</v>
      </c>
    </row>
    <row r="5" spans="1:15" ht="15" x14ac:dyDescent="0.25">
      <c r="A5" s="53">
        <v>4</v>
      </c>
      <c r="B5" s="52" t="s">
        <v>109</v>
      </c>
      <c r="C5" s="54">
        <v>16</v>
      </c>
      <c r="D5" s="56">
        <v>1286</v>
      </c>
      <c r="E5" s="61">
        <v>0.69592562209461295</v>
      </c>
      <c r="F5" s="56">
        <v>347.29500000000002</v>
      </c>
      <c r="G5" s="59" t="s">
        <v>107</v>
      </c>
      <c r="H5" s="64" t="s">
        <v>195</v>
      </c>
      <c r="I5" s="26">
        <v>30</v>
      </c>
      <c r="J5" s="22"/>
      <c r="K5" s="22">
        <f t="shared" si="0"/>
        <v>30</v>
      </c>
      <c r="L5" s="22"/>
      <c r="M5" s="22"/>
      <c r="N5">
        <f t="shared" si="1"/>
        <v>69.59</v>
      </c>
      <c r="O5" s="28">
        <f t="shared" si="2"/>
        <v>347</v>
      </c>
    </row>
    <row r="6" spans="1:15" ht="15" x14ac:dyDescent="0.25">
      <c r="A6" s="53">
        <v>5</v>
      </c>
      <c r="B6" s="52" t="s">
        <v>135</v>
      </c>
      <c r="C6" s="54">
        <v>16</v>
      </c>
      <c r="D6" s="56">
        <v>1284</v>
      </c>
      <c r="E6" s="61">
        <v>0.69537872573147397</v>
      </c>
      <c r="F6" s="56">
        <v>266.89400000000001</v>
      </c>
      <c r="G6" s="59" t="s">
        <v>107</v>
      </c>
      <c r="H6" s="64" t="s">
        <v>196</v>
      </c>
      <c r="I6" s="26">
        <v>25</v>
      </c>
      <c r="J6" s="22"/>
      <c r="K6" s="22">
        <f t="shared" si="0"/>
        <v>25</v>
      </c>
      <c r="L6" s="22"/>
      <c r="M6" s="22"/>
      <c r="N6">
        <f t="shared" si="1"/>
        <v>69.540000000000006</v>
      </c>
      <c r="O6" s="28">
        <f t="shared" si="2"/>
        <v>267</v>
      </c>
    </row>
    <row r="7" spans="1:15" ht="15" x14ac:dyDescent="0.25">
      <c r="A7" s="53">
        <v>6</v>
      </c>
      <c r="B7" s="52" t="s">
        <v>8</v>
      </c>
      <c r="C7" s="54">
        <v>16</v>
      </c>
      <c r="D7" s="56">
        <v>1272</v>
      </c>
      <c r="E7" s="61">
        <v>0.69209734755263896</v>
      </c>
      <c r="F7" s="56">
        <v>152.37700000000001</v>
      </c>
      <c r="G7" s="59" t="s">
        <v>9</v>
      </c>
      <c r="H7" s="64" t="s">
        <v>197</v>
      </c>
      <c r="I7" s="26">
        <v>20</v>
      </c>
      <c r="J7" s="22"/>
      <c r="K7" s="22">
        <f t="shared" si="0"/>
        <v>20</v>
      </c>
      <c r="L7" s="22"/>
      <c r="M7" s="22"/>
      <c r="N7">
        <f t="shared" si="1"/>
        <v>69.209999999999994</v>
      </c>
      <c r="O7" s="28">
        <f t="shared" si="2"/>
        <v>152</v>
      </c>
    </row>
    <row r="8" spans="1:15" ht="15" x14ac:dyDescent="0.25">
      <c r="A8" s="53">
        <v>7</v>
      </c>
      <c r="B8" s="52" t="s">
        <v>75</v>
      </c>
      <c r="C8" s="54">
        <v>16</v>
      </c>
      <c r="D8" s="56">
        <v>2029.0208333333301</v>
      </c>
      <c r="E8" s="61">
        <v>0.68908236371471698</v>
      </c>
      <c r="F8" s="56">
        <v>129.762</v>
      </c>
      <c r="G8" s="59" t="s">
        <v>65</v>
      </c>
      <c r="H8" s="64" t="s">
        <v>198</v>
      </c>
      <c r="I8" s="26">
        <v>15</v>
      </c>
      <c r="J8" s="22">
        <v>25</v>
      </c>
      <c r="K8" s="22">
        <f t="shared" si="0"/>
        <v>40</v>
      </c>
      <c r="L8" s="22"/>
      <c r="M8" s="22"/>
      <c r="N8">
        <f t="shared" si="1"/>
        <v>68.91</v>
      </c>
      <c r="O8" s="28">
        <f t="shared" si="2"/>
        <v>130</v>
      </c>
    </row>
    <row r="9" spans="1:15" ht="15" x14ac:dyDescent="0.25">
      <c r="A9" s="53">
        <v>8</v>
      </c>
      <c r="B9" s="52" t="s">
        <v>184</v>
      </c>
      <c r="C9" s="54">
        <v>16</v>
      </c>
      <c r="D9" s="56">
        <v>1174.5</v>
      </c>
      <c r="E9" s="61">
        <v>0.66543614984960398</v>
      </c>
      <c r="F9" s="56">
        <v>193.29499999999999</v>
      </c>
      <c r="G9" s="59" t="s">
        <v>107</v>
      </c>
      <c r="H9" s="64" t="s">
        <v>199</v>
      </c>
      <c r="I9" s="26">
        <v>10</v>
      </c>
      <c r="J9" s="22"/>
      <c r="K9" s="22">
        <f t="shared" si="0"/>
        <v>10</v>
      </c>
      <c r="L9" s="22"/>
      <c r="M9" s="22"/>
      <c r="N9">
        <f t="shared" si="1"/>
        <v>66.540000000000006</v>
      </c>
      <c r="O9" s="28">
        <f t="shared" si="2"/>
        <v>193</v>
      </c>
    </row>
    <row r="10" spans="1:15" ht="15" x14ac:dyDescent="0.25">
      <c r="A10" s="53">
        <v>9</v>
      </c>
      <c r="B10" s="52" t="s">
        <v>81</v>
      </c>
      <c r="C10" s="54">
        <v>16</v>
      </c>
      <c r="D10" s="56">
        <v>1926.0972222222199</v>
      </c>
      <c r="E10" s="61">
        <v>0.65581681390504898</v>
      </c>
      <c r="F10" s="56">
        <v>37.770000000000003</v>
      </c>
      <c r="G10" s="59" t="s">
        <v>65</v>
      </c>
      <c r="H10" s="64" t="s">
        <v>200</v>
      </c>
      <c r="I10" s="27">
        <v>5</v>
      </c>
      <c r="J10" s="22"/>
      <c r="K10" s="22">
        <f t="shared" si="0"/>
        <v>5</v>
      </c>
      <c r="L10" s="22"/>
      <c r="M10" s="22"/>
      <c r="N10">
        <f t="shared" si="1"/>
        <v>65.58</v>
      </c>
      <c r="O10" s="28">
        <f t="shared" si="2"/>
        <v>38</v>
      </c>
    </row>
    <row r="11" spans="1:15" ht="15" x14ac:dyDescent="0.25">
      <c r="A11" s="53">
        <v>10</v>
      </c>
      <c r="B11" s="52" t="s">
        <v>112</v>
      </c>
      <c r="C11" s="54">
        <v>16</v>
      </c>
      <c r="D11" s="56">
        <v>1084.5</v>
      </c>
      <c r="E11" s="61">
        <v>0.64082581350834</v>
      </c>
      <c r="F11" s="56">
        <v>506.27199999999999</v>
      </c>
      <c r="G11" s="59" t="s">
        <v>107</v>
      </c>
      <c r="H11" s="64" t="s">
        <v>201</v>
      </c>
      <c r="I11" s="26">
        <v>5</v>
      </c>
      <c r="J11" s="22">
        <v>25</v>
      </c>
      <c r="K11" s="22">
        <f t="shared" si="0"/>
        <v>30</v>
      </c>
      <c r="L11" s="22"/>
      <c r="M11" s="22"/>
      <c r="N11">
        <f t="shared" si="1"/>
        <v>64.08</v>
      </c>
      <c r="O11" s="28">
        <f t="shared" si="2"/>
        <v>506</v>
      </c>
    </row>
    <row r="12" spans="1:15" ht="15" x14ac:dyDescent="0.25">
      <c r="A12" s="53">
        <v>11</v>
      </c>
      <c r="B12" s="52" t="s">
        <v>24</v>
      </c>
      <c r="C12" s="54">
        <v>16</v>
      </c>
      <c r="D12" s="56">
        <v>1043</v>
      </c>
      <c r="E12" s="61">
        <v>0.62947771397320196</v>
      </c>
      <c r="F12" s="56">
        <v>149.71600000000001</v>
      </c>
      <c r="G12" s="59" t="s">
        <v>9</v>
      </c>
      <c r="H12" s="64" t="s">
        <v>202</v>
      </c>
      <c r="I12" s="26">
        <v>5</v>
      </c>
      <c r="J12" s="22"/>
      <c r="K12" s="22">
        <f t="shared" si="0"/>
        <v>5</v>
      </c>
      <c r="L12" s="22"/>
      <c r="M12" s="22"/>
      <c r="N12">
        <f t="shared" si="1"/>
        <v>62.95</v>
      </c>
      <c r="O12" s="28">
        <f t="shared" si="2"/>
        <v>150</v>
      </c>
    </row>
    <row r="13" spans="1:15" ht="15" x14ac:dyDescent="0.25">
      <c r="A13" s="53">
        <v>12</v>
      </c>
      <c r="B13" s="52" t="s">
        <v>175</v>
      </c>
      <c r="C13" s="54">
        <v>16</v>
      </c>
      <c r="D13" s="56">
        <v>977</v>
      </c>
      <c r="E13" s="61">
        <v>0.61143013398960899</v>
      </c>
      <c r="F13" s="56">
        <v>160.952</v>
      </c>
      <c r="G13" s="59" t="s">
        <v>9</v>
      </c>
      <c r="H13" s="64" t="s">
        <v>203</v>
      </c>
      <c r="I13" s="27">
        <v>0</v>
      </c>
      <c r="J13" s="22"/>
      <c r="K13" s="22">
        <f t="shared" si="0"/>
        <v>0</v>
      </c>
      <c r="L13" s="22"/>
      <c r="M13" s="22"/>
      <c r="N13">
        <f t="shared" si="1"/>
        <v>61.14</v>
      </c>
      <c r="O13" s="28">
        <f t="shared" si="2"/>
        <v>161</v>
      </c>
    </row>
    <row r="14" spans="1:15" ht="15" x14ac:dyDescent="0.25">
      <c r="A14" s="53">
        <v>13</v>
      </c>
      <c r="B14" s="52" t="s">
        <v>12</v>
      </c>
      <c r="C14" s="54">
        <v>16</v>
      </c>
      <c r="D14" s="56">
        <v>976.5</v>
      </c>
      <c r="E14" s="61">
        <v>0.61129340989882397</v>
      </c>
      <c r="F14" s="56">
        <v>130.517</v>
      </c>
      <c r="G14" s="59" t="s">
        <v>9</v>
      </c>
      <c r="H14" s="64" t="s">
        <v>204</v>
      </c>
      <c r="I14" s="27">
        <v>0</v>
      </c>
      <c r="J14" s="22"/>
      <c r="K14" s="22">
        <f t="shared" si="0"/>
        <v>0</v>
      </c>
      <c r="L14" s="22"/>
      <c r="M14" s="22"/>
      <c r="N14">
        <f t="shared" si="1"/>
        <v>61.13</v>
      </c>
      <c r="O14" s="28">
        <f t="shared" si="2"/>
        <v>131</v>
      </c>
    </row>
    <row r="15" spans="1:15" ht="15" x14ac:dyDescent="0.25">
      <c r="A15" s="53">
        <v>14</v>
      </c>
      <c r="B15" s="52" t="s">
        <v>187</v>
      </c>
      <c r="C15" s="54">
        <v>16</v>
      </c>
      <c r="D15" s="56">
        <v>964</v>
      </c>
      <c r="E15" s="61">
        <v>0.60787530762920405</v>
      </c>
      <c r="F15" s="56">
        <v>535.90099999999995</v>
      </c>
      <c r="G15" s="59" t="s">
        <v>107</v>
      </c>
      <c r="H15" s="64" t="s">
        <v>278</v>
      </c>
      <c r="I15" s="27">
        <v>0</v>
      </c>
      <c r="J15" s="22"/>
      <c r="K15" s="22">
        <f t="shared" si="0"/>
        <v>0</v>
      </c>
      <c r="L15" s="22"/>
      <c r="M15" s="22"/>
      <c r="N15">
        <f t="shared" si="1"/>
        <v>60.79</v>
      </c>
      <c r="O15" s="28">
        <f t="shared" si="2"/>
        <v>536</v>
      </c>
    </row>
    <row r="16" spans="1:15" ht="15" x14ac:dyDescent="0.25">
      <c r="A16" s="53">
        <v>15</v>
      </c>
      <c r="B16" s="52" t="s">
        <v>67</v>
      </c>
      <c r="C16" s="54">
        <v>16</v>
      </c>
      <c r="D16" s="56">
        <v>1774.4479166666699</v>
      </c>
      <c r="E16" s="61">
        <v>0.60680281728075802</v>
      </c>
      <c r="F16" s="56">
        <v>85.048000000000002</v>
      </c>
      <c r="G16" s="59" t="s">
        <v>65</v>
      </c>
      <c r="H16" s="64" t="s">
        <v>205</v>
      </c>
      <c r="I16" s="27">
        <v>0</v>
      </c>
      <c r="J16" s="22"/>
      <c r="K16" s="22">
        <f t="shared" si="0"/>
        <v>0</v>
      </c>
      <c r="L16" s="22"/>
      <c r="M16" s="22"/>
      <c r="N16">
        <f t="shared" si="1"/>
        <v>60.68</v>
      </c>
      <c r="O16" s="28">
        <f t="shared" si="2"/>
        <v>85</v>
      </c>
    </row>
    <row r="17" spans="1:15" ht="15" x14ac:dyDescent="0.25">
      <c r="A17" s="53">
        <v>16</v>
      </c>
      <c r="B17" s="52" t="s">
        <v>116</v>
      </c>
      <c r="C17" s="54">
        <v>16</v>
      </c>
      <c r="D17" s="56">
        <v>946.5</v>
      </c>
      <c r="E17" s="61">
        <v>0.60308996445173602</v>
      </c>
      <c r="F17" s="56">
        <v>431.755</v>
      </c>
      <c r="G17" s="59" t="s">
        <v>107</v>
      </c>
      <c r="H17" s="64" t="s">
        <v>206</v>
      </c>
      <c r="I17" s="27">
        <v>0</v>
      </c>
      <c r="J17">
        <v>25</v>
      </c>
      <c r="K17" s="22">
        <f t="shared" si="0"/>
        <v>25</v>
      </c>
      <c r="N17">
        <f t="shared" si="1"/>
        <v>60.31</v>
      </c>
      <c r="O17" s="28">
        <f t="shared" si="2"/>
        <v>432</v>
      </c>
    </row>
    <row r="18" spans="1:15" ht="15" x14ac:dyDescent="0.25">
      <c r="A18" s="53">
        <v>17</v>
      </c>
      <c r="B18" s="52" t="s">
        <v>13</v>
      </c>
      <c r="C18" s="54">
        <v>16</v>
      </c>
      <c r="D18" s="56">
        <v>903</v>
      </c>
      <c r="E18" s="61">
        <v>0.59119496855345899</v>
      </c>
      <c r="F18" s="56">
        <v>215.32300000000001</v>
      </c>
      <c r="G18" s="59" t="s">
        <v>9</v>
      </c>
      <c r="H18" s="64" t="s">
        <v>207</v>
      </c>
      <c r="I18" s="27">
        <v>0</v>
      </c>
      <c r="J18">
        <v>25</v>
      </c>
      <c r="K18" s="22">
        <f t="shared" si="0"/>
        <v>25</v>
      </c>
      <c r="N18">
        <f t="shared" si="1"/>
        <v>59.12</v>
      </c>
      <c r="O18" s="28">
        <f t="shared" si="2"/>
        <v>215</v>
      </c>
    </row>
    <row r="19" spans="1:15" ht="15" x14ac:dyDescent="0.25">
      <c r="A19" s="53">
        <v>18</v>
      </c>
      <c r="B19" s="52" t="s">
        <v>110</v>
      </c>
      <c r="C19" s="54">
        <v>16</v>
      </c>
      <c r="D19" s="56">
        <v>874.5</v>
      </c>
      <c r="E19" s="61">
        <v>0.58340169537872599</v>
      </c>
      <c r="F19" s="56">
        <v>225.41499999999999</v>
      </c>
      <c r="G19" s="59" t="s">
        <v>107</v>
      </c>
      <c r="H19" s="64" t="s">
        <v>209</v>
      </c>
      <c r="I19" s="27">
        <v>0</v>
      </c>
      <c r="K19" s="22">
        <f t="shared" si="0"/>
        <v>0</v>
      </c>
      <c r="N19">
        <f t="shared" si="1"/>
        <v>58.34</v>
      </c>
      <c r="O19" s="28">
        <f t="shared" si="2"/>
        <v>225</v>
      </c>
    </row>
    <row r="20" spans="1:15" ht="15" x14ac:dyDescent="0.25">
      <c r="A20" s="53">
        <v>19</v>
      </c>
      <c r="B20" s="52" t="s">
        <v>91</v>
      </c>
      <c r="C20" s="54">
        <v>16</v>
      </c>
      <c r="D20" s="56">
        <v>1695.1666666666699</v>
      </c>
      <c r="E20" s="61">
        <v>0.58117862529627196</v>
      </c>
      <c r="F20" s="56">
        <v>71.171999999999997</v>
      </c>
      <c r="G20" s="59" t="s">
        <v>65</v>
      </c>
      <c r="H20" s="64" t="s">
        <v>210</v>
      </c>
      <c r="I20" s="27">
        <v>0</v>
      </c>
      <c r="K20" s="22">
        <f t="shared" si="0"/>
        <v>0</v>
      </c>
      <c r="N20">
        <f t="shared" si="1"/>
        <v>58.12</v>
      </c>
      <c r="O20" s="28">
        <f t="shared" si="2"/>
        <v>71</v>
      </c>
    </row>
    <row r="21" spans="1:15" ht="15" x14ac:dyDescent="0.25">
      <c r="A21" s="53">
        <v>20</v>
      </c>
      <c r="B21" s="52" t="s">
        <v>121</v>
      </c>
      <c r="C21" s="54">
        <v>16</v>
      </c>
      <c r="D21" s="56">
        <v>849.5</v>
      </c>
      <c r="E21" s="61">
        <v>0.57656549083948605</v>
      </c>
      <c r="F21" s="56">
        <v>105.976</v>
      </c>
      <c r="G21" s="59" t="s">
        <v>107</v>
      </c>
      <c r="H21" s="64" t="s">
        <v>208</v>
      </c>
      <c r="I21" s="27">
        <v>0</v>
      </c>
      <c r="K21" s="22">
        <f t="shared" si="0"/>
        <v>0</v>
      </c>
      <c r="N21">
        <f t="shared" si="1"/>
        <v>57.66</v>
      </c>
      <c r="O21" s="28">
        <f t="shared" si="2"/>
        <v>106</v>
      </c>
    </row>
    <row r="22" spans="1:15" ht="15" x14ac:dyDescent="0.25">
      <c r="A22" s="53">
        <v>21</v>
      </c>
      <c r="B22" s="52" t="s">
        <v>14</v>
      </c>
      <c r="C22" s="54">
        <v>16</v>
      </c>
      <c r="D22" s="56">
        <v>834</v>
      </c>
      <c r="E22" s="61">
        <v>0.57232704402515699</v>
      </c>
      <c r="F22" s="56">
        <v>224.761</v>
      </c>
      <c r="G22" s="59" t="s">
        <v>9</v>
      </c>
      <c r="H22" s="64" t="s">
        <v>211</v>
      </c>
      <c r="I22" s="27">
        <v>0</v>
      </c>
      <c r="K22" s="22">
        <f t="shared" si="0"/>
        <v>0</v>
      </c>
      <c r="N22">
        <f t="shared" si="1"/>
        <v>57.23</v>
      </c>
      <c r="O22" s="28">
        <f t="shared" si="2"/>
        <v>225</v>
      </c>
    </row>
    <row r="23" spans="1:15" ht="15" x14ac:dyDescent="0.25">
      <c r="A23" s="53">
        <v>22</v>
      </c>
      <c r="B23" s="52" t="s">
        <v>68</v>
      </c>
      <c r="C23" s="54">
        <v>16</v>
      </c>
      <c r="D23" s="56">
        <v>1664.61631944444</v>
      </c>
      <c r="E23" s="61">
        <v>0.57130456349206304</v>
      </c>
      <c r="F23" s="56">
        <v>44.165999999999997</v>
      </c>
      <c r="G23" s="59" t="s">
        <v>65</v>
      </c>
      <c r="H23" s="64" t="s">
        <v>212</v>
      </c>
      <c r="I23" s="27">
        <v>0</v>
      </c>
      <c r="K23" s="22">
        <f t="shared" si="0"/>
        <v>0</v>
      </c>
      <c r="N23">
        <f t="shared" si="1"/>
        <v>57.13</v>
      </c>
      <c r="O23" s="28">
        <f t="shared" si="2"/>
        <v>44</v>
      </c>
    </row>
    <row r="24" spans="1:15" ht="15" x14ac:dyDescent="0.25">
      <c r="A24" s="53">
        <v>23</v>
      </c>
      <c r="B24" s="52" t="s">
        <v>104</v>
      </c>
      <c r="C24" s="54">
        <v>16</v>
      </c>
      <c r="D24" s="56">
        <v>1655.0364583333301</v>
      </c>
      <c r="E24" s="61">
        <v>0.56820829293255803</v>
      </c>
      <c r="F24" s="56">
        <v>112.566</v>
      </c>
      <c r="G24" s="59" t="s">
        <v>65</v>
      </c>
      <c r="H24" s="64" t="s">
        <v>213</v>
      </c>
      <c r="I24" s="27">
        <v>0</v>
      </c>
      <c r="K24" s="22">
        <f t="shared" si="0"/>
        <v>0</v>
      </c>
      <c r="N24">
        <f t="shared" si="1"/>
        <v>56.82</v>
      </c>
      <c r="O24" s="28">
        <f t="shared" si="2"/>
        <v>113</v>
      </c>
    </row>
    <row r="25" spans="1:15" ht="15" x14ac:dyDescent="0.25">
      <c r="A25" s="53">
        <v>24</v>
      </c>
      <c r="B25" s="52" t="s">
        <v>56</v>
      </c>
      <c r="C25" s="54">
        <v>16</v>
      </c>
      <c r="D25" s="56">
        <v>813</v>
      </c>
      <c r="E25" s="61">
        <v>0.56658463221219602</v>
      </c>
      <c r="F25" s="56">
        <v>73.528999999999996</v>
      </c>
      <c r="G25" s="59" t="s">
        <v>9</v>
      </c>
      <c r="H25" s="64" t="s">
        <v>214</v>
      </c>
      <c r="I25" s="27">
        <v>0</v>
      </c>
      <c r="K25" s="22">
        <f t="shared" si="0"/>
        <v>0</v>
      </c>
      <c r="N25">
        <f t="shared" si="1"/>
        <v>56.66</v>
      </c>
      <c r="O25" s="28">
        <f t="shared" si="2"/>
        <v>74</v>
      </c>
    </row>
    <row r="26" spans="1:15" ht="15" x14ac:dyDescent="0.25">
      <c r="A26" s="53">
        <v>25</v>
      </c>
      <c r="B26" s="52" t="s">
        <v>16</v>
      </c>
      <c r="C26" s="54">
        <v>16</v>
      </c>
      <c r="D26" s="56">
        <v>810</v>
      </c>
      <c r="E26" s="61">
        <v>0.56576428766748699</v>
      </c>
      <c r="F26" s="56">
        <v>170.49100000000001</v>
      </c>
      <c r="G26" s="59" t="s">
        <v>9</v>
      </c>
      <c r="H26" s="64" t="s">
        <v>215</v>
      </c>
      <c r="I26" s="27">
        <v>0</v>
      </c>
      <c r="K26" s="22">
        <f t="shared" si="0"/>
        <v>0</v>
      </c>
      <c r="N26">
        <f t="shared" si="1"/>
        <v>56.58</v>
      </c>
      <c r="O26" s="28">
        <f t="shared" si="2"/>
        <v>170</v>
      </c>
    </row>
    <row r="27" spans="1:15" ht="15" x14ac:dyDescent="0.25">
      <c r="A27" s="53">
        <v>26</v>
      </c>
      <c r="B27" s="52" t="s">
        <v>95</v>
      </c>
      <c r="C27" s="54">
        <v>16</v>
      </c>
      <c r="D27" s="56">
        <v>1616.65625</v>
      </c>
      <c r="E27" s="61">
        <v>0.55580357142857095</v>
      </c>
      <c r="F27" s="56">
        <v>107.941</v>
      </c>
      <c r="G27" s="59" t="s">
        <v>65</v>
      </c>
      <c r="H27" s="64" t="s">
        <v>216</v>
      </c>
      <c r="I27" s="27">
        <v>0</v>
      </c>
      <c r="K27" s="22">
        <f t="shared" si="0"/>
        <v>0</v>
      </c>
      <c r="N27">
        <f t="shared" si="1"/>
        <v>55.58</v>
      </c>
      <c r="O27" s="28">
        <f t="shared" si="2"/>
        <v>108</v>
      </c>
    </row>
    <row r="28" spans="1:15" ht="15" x14ac:dyDescent="0.25">
      <c r="A28" s="53">
        <v>27</v>
      </c>
      <c r="B28" s="52" t="s">
        <v>126</v>
      </c>
      <c r="C28" s="54">
        <v>16</v>
      </c>
      <c r="D28" s="56">
        <v>769</v>
      </c>
      <c r="E28" s="61">
        <v>0.55455291222313396</v>
      </c>
      <c r="F28" s="56">
        <v>331.197</v>
      </c>
      <c r="G28" s="59" t="s">
        <v>107</v>
      </c>
      <c r="H28" s="64" t="s">
        <v>226</v>
      </c>
      <c r="I28" s="27">
        <v>0</v>
      </c>
      <c r="K28" s="22">
        <f t="shared" si="0"/>
        <v>0</v>
      </c>
      <c r="N28">
        <f t="shared" si="1"/>
        <v>55.46</v>
      </c>
      <c r="O28" s="28">
        <f t="shared" si="2"/>
        <v>331</v>
      </c>
    </row>
    <row r="29" spans="1:15" ht="15" x14ac:dyDescent="0.25">
      <c r="A29" s="53">
        <v>28</v>
      </c>
      <c r="B29" s="52" t="s">
        <v>130</v>
      </c>
      <c r="C29" s="54">
        <v>16</v>
      </c>
      <c r="D29" s="56">
        <v>764</v>
      </c>
      <c r="E29" s="61">
        <v>0.55318567131528595</v>
      </c>
      <c r="F29" s="56">
        <v>155.6</v>
      </c>
      <c r="G29" s="59" t="s">
        <v>107</v>
      </c>
      <c r="H29" s="64" t="s">
        <v>229</v>
      </c>
      <c r="I29" s="27">
        <v>0</v>
      </c>
      <c r="K29" s="22">
        <f t="shared" si="0"/>
        <v>0</v>
      </c>
      <c r="N29">
        <f t="shared" si="1"/>
        <v>55.32</v>
      </c>
      <c r="O29" s="28">
        <f t="shared" si="2"/>
        <v>156</v>
      </c>
    </row>
    <row r="30" spans="1:15" ht="15" x14ac:dyDescent="0.25">
      <c r="A30" s="53">
        <v>29</v>
      </c>
      <c r="B30" s="52" t="s">
        <v>72</v>
      </c>
      <c r="C30" s="54">
        <v>16</v>
      </c>
      <c r="D30" s="56">
        <v>1605.7934027777801</v>
      </c>
      <c r="E30" s="61">
        <v>0.55229263179630805</v>
      </c>
      <c r="F30" s="56">
        <v>132.97499999999999</v>
      </c>
      <c r="G30" s="59" t="s">
        <v>65</v>
      </c>
      <c r="H30" s="64" t="s">
        <v>217</v>
      </c>
      <c r="I30" s="27">
        <v>0</v>
      </c>
      <c r="K30" s="22">
        <f t="shared" si="0"/>
        <v>0</v>
      </c>
      <c r="N30">
        <f t="shared" si="1"/>
        <v>55.23</v>
      </c>
      <c r="O30" s="28">
        <f t="shared" si="2"/>
        <v>133</v>
      </c>
    </row>
    <row r="31" spans="1:15" ht="15" x14ac:dyDescent="0.25">
      <c r="A31" s="53">
        <v>30</v>
      </c>
      <c r="B31" s="52" t="s">
        <v>100</v>
      </c>
      <c r="C31" s="54">
        <v>16</v>
      </c>
      <c r="D31" s="56">
        <v>1594.1927083333301</v>
      </c>
      <c r="E31" s="61">
        <v>0.54854321536306805</v>
      </c>
      <c r="F31" s="56">
        <v>115.53700000000001</v>
      </c>
      <c r="G31" s="59" t="s">
        <v>65</v>
      </c>
      <c r="H31" s="64" t="s">
        <v>219</v>
      </c>
      <c r="I31" s="27">
        <v>0</v>
      </c>
      <c r="K31" s="22">
        <f t="shared" si="0"/>
        <v>0</v>
      </c>
      <c r="N31">
        <f t="shared" si="1"/>
        <v>54.85</v>
      </c>
      <c r="O31" s="28">
        <f t="shared" si="2"/>
        <v>116</v>
      </c>
    </row>
    <row r="32" spans="1:15" ht="15" x14ac:dyDescent="0.25">
      <c r="A32" s="53">
        <v>30</v>
      </c>
      <c r="B32" s="52" t="s">
        <v>100</v>
      </c>
      <c r="C32" s="54">
        <v>16</v>
      </c>
      <c r="D32" s="56">
        <v>1594.1927083333301</v>
      </c>
      <c r="E32" s="61">
        <v>0.54854321536306805</v>
      </c>
      <c r="F32" s="56">
        <v>115.53700000000001</v>
      </c>
      <c r="G32" s="59" t="s">
        <v>65</v>
      </c>
      <c r="H32" s="64" t="s">
        <v>218</v>
      </c>
      <c r="I32" s="27">
        <v>0</v>
      </c>
      <c r="K32" s="22">
        <f t="shared" si="0"/>
        <v>0</v>
      </c>
      <c r="N32">
        <f t="shared" si="1"/>
        <v>54.85</v>
      </c>
      <c r="O32" s="28">
        <f t="shared" si="2"/>
        <v>116</v>
      </c>
    </row>
    <row r="33" spans="1:15" ht="15" x14ac:dyDescent="0.25">
      <c r="A33" s="53">
        <v>30</v>
      </c>
      <c r="B33" s="52" t="s">
        <v>100</v>
      </c>
      <c r="C33" s="54">
        <v>16</v>
      </c>
      <c r="D33" s="56">
        <v>1594.1927083333301</v>
      </c>
      <c r="E33" s="61">
        <v>0.54854321536306805</v>
      </c>
      <c r="F33" s="56">
        <v>115.53700000000001</v>
      </c>
      <c r="G33" s="59" t="s">
        <v>65</v>
      </c>
      <c r="H33" s="64" t="s">
        <v>220</v>
      </c>
      <c r="I33" s="27">
        <v>0</v>
      </c>
      <c r="K33" s="22">
        <f t="shared" si="0"/>
        <v>0</v>
      </c>
      <c r="N33">
        <f t="shared" si="1"/>
        <v>54.85</v>
      </c>
      <c r="O33" s="28">
        <f t="shared" si="2"/>
        <v>116</v>
      </c>
    </row>
    <row r="34" spans="1:15" ht="15" x14ac:dyDescent="0.25">
      <c r="A34" s="53">
        <v>31</v>
      </c>
      <c r="B34" s="52" t="s">
        <v>114</v>
      </c>
      <c r="C34" s="54">
        <v>16</v>
      </c>
      <c r="D34" s="56">
        <v>724</v>
      </c>
      <c r="E34" s="61">
        <v>0.54224774405250198</v>
      </c>
      <c r="F34" s="56">
        <v>141.9</v>
      </c>
      <c r="G34" s="59" t="s">
        <v>107</v>
      </c>
      <c r="H34" s="64" t="s">
        <v>221</v>
      </c>
      <c r="I34" s="27">
        <v>0</v>
      </c>
      <c r="K34" s="22">
        <f t="shared" si="0"/>
        <v>0</v>
      </c>
      <c r="N34">
        <f t="shared" si="1"/>
        <v>54.22</v>
      </c>
      <c r="O34" s="28">
        <f t="shared" si="2"/>
        <v>142</v>
      </c>
    </row>
    <row r="35" spans="1:15" ht="15" x14ac:dyDescent="0.25">
      <c r="A35" s="53">
        <v>32</v>
      </c>
      <c r="B35" s="52" t="s">
        <v>18</v>
      </c>
      <c r="C35" s="54">
        <v>16</v>
      </c>
      <c r="D35" s="56">
        <v>720</v>
      </c>
      <c r="E35" s="61">
        <v>0.54115395132622401</v>
      </c>
      <c r="F35" s="56">
        <v>153.89099999999999</v>
      </c>
      <c r="G35" s="59" t="s">
        <v>9</v>
      </c>
      <c r="H35" s="64" t="s">
        <v>222</v>
      </c>
      <c r="I35" s="27">
        <v>0</v>
      </c>
      <c r="K35" s="22">
        <f t="shared" si="0"/>
        <v>0</v>
      </c>
      <c r="N35">
        <f t="shared" si="1"/>
        <v>54.12</v>
      </c>
      <c r="O35" s="28">
        <f t="shared" si="2"/>
        <v>154</v>
      </c>
    </row>
    <row r="36" spans="1:15" ht="15" x14ac:dyDescent="0.25">
      <c r="A36" s="53">
        <v>33</v>
      </c>
      <c r="B36" s="52" t="s">
        <v>74</v>
      </c>
      <c r="C36" s="54">
        <v>16</v>
      </c>
      <c r="D36" s="56">
        <v>1559.4791666666699</v>
      </c>
      <c r="E36" s="61">
        <v>0.53732358327946605</v>
      </c>
      <c r="F36" s="56">
        <v>73.873000000000005</v>
      </c>
      <c r="G36" s="59" t="s">
        <v>65</v>
      </c>
      <c r="H36" s="64" t="s">
        <v>223</v>
      </c>
      <c r="I36" s="27">
        <v>0</v>
      </c>
      <c r="K36" s="22">
        <f t="shared" si="0"/>
        <v>0</v>
      </c>
      <c r="N36">
        <f t="shared" si="1"/>
        <v>53.73</v>
      </c>
      <c r="O36" s="28">
        <f t="shared" si="2"/>
        <v>74</v>
      </c>
    </row>
    <row r="37" spans="1:15" ht="15" x14ac:dyDescent="0.25">
      <c r="A37" s="53">
        <v>34</v>
      </c>
      <c r="B37" s="52" t="s">
        <v>171</v>
      </c>
      <c r="C37" s="54">
        <v>16</v>
      </c>
      <c r="D37" s="56">
        <v>700</v>
      </c>
      <c r="E37" s="61">
        <v>0.53568498769483197</v>
      </c>
      <c r="F37" s="56">
        <v>86.777000000000001</v>
      </c>
      <c r="G37" s="59" t="s">
        <v>9</v>
      </c>
      <c r="H37" s="64" t="s">
        <v>224</v>
      </c>
      <c r="I37" s="27">
        <v>0</v>
      </c>
      <c r="K37" s="22">
        <f t="shared" si="0"/>
        <v>0</v>
      </c>
      <c r="N37">
        <f t="shared" si="1"/>
        <v>53.57</v>
      </c>
      <c r="O37" s="28">
        <f t="shared" si="2"/>
        <v>87</v>
      </c>
    </row>
    <row r="38" spans="1:15" ht="15" x14ac:dyDescent="0.25">
      <c r="A38" s="53">
        <v>35</v>
      </c>
      <c r="B38" s="52" t="s">
        <v>71</v>
      </c>
      <c r="C38" s="54">
        <v>16</v>
      </c>
      <c r="D38" s="56">
        <v>1543.0572916666699</v>
      </c>
      <c r="E38" s="61">
        <v>0.53201593137254899</v>
      </c>
      <c r="F38" s="56">
        <v>148.023</v>
      </c>
      <c r="G38" s="59" t="s">
        <v>65</v>
      </c>
      <c r="H38" s="64" t="s">
        <v>227</v>
      </c>
      <c r="I38" s="27">
        <v>0</v>
      </c>
      <c r="K38" s="22">
        <f t="shared" si="0"/>
        <v>0</v>
      </c>
      <c r="N38">
        <f t="shared" si="1"/>
        <v>53.2</v>
      </c>
      <c r="O38" s="28">
        <f t="shared" si="2"/>
        <v>148</v>
      </c>
    </row>
    <row r="39" spans="1:15" ht="15" x14ac:dyDescent="0.25">
      <c r="A39" s="53">
        <v>36</v>
      </c>
      <c r="B39" s="52" t="s">
        <v>19</v>
      </c>
      <c r="C39" s="54">
        <v>16</v>
      </c>
      <c r="D39" s="56">
        <v>679</v>
      </c>
      <c r="E39" s="61">
        <v>0.52994257588186999</v>
      </c>
      <c r="F39" s="56">
        <v>259.70499999999998</v>
      </c>
      <c r="G39" s="59" t="s">
        <v>9</v>
      </c>
      <c r="H39" s="64" t="s">
        <v>228</v>
      </c>
      <c r="I39" s="27">
        <v>0</v>
      </c>
      <c r="K39" s="22">
        <f t="shared" si="0"/>
        <v>0</v>
      </c>
      <c r="N39">
        <f t="shared" si="1"/>
        <v>52.99</v>
      </c>
      <c r="O39" s="28">
        <f t="shared" si="2"/>
        <v>260</v>
      </c>
    </row>
    <row r="40" spans="1:15" ht="15" x14ac:dyDescent="0.25">
      <c r="A40" s="53">
        <v>37</v>
      </c>
      <c r="B40" s="52" t="s">
        <v>98</v>
      </c>
      <c r="C40" s="54">
        <v>16</v>
      </c>
      <c r="D40" s="56">
        <v>1519.06666666667</v>
      </c>
      <c r="E40" s="61">
        <v>0.52426201249730697</v>
      </c>
      <c r="F40" s="56">
        <v>452.39600000000002</v>
      </c>
      <c r="G40" s="59" t="s">
        <v>65</v>
      </c>
      <c r="H40" s="64" t="s">
        <v>230</v>
      </c>
      <c r="I40" s="27">
        <v>0</v>
      </c>
      <c r="K40" s="22">
        <f t="shared" si="0"/>
        <v>0</v>
      </c>
      <c r="N40">
        <f t="shared" si="1"/>
        <v>52.43</v>
      </c>
      <c r="O40" s="28">
        <f t="shared" si="2"/>
        <v>452</v>
      </c>
    </row>
    <row r="41" spans="1:15" ht="15" x14ac:dyDescent="0.25">
      <c r="A41" s="53">
        <v>38</v>
      </c>
      <c r="B41" s="52" t="s">
        <v>115</v>
      </c>
      <c r="C41" s="54">
        <v>16</v>
      </c>
      <c r="D41" s="56">
        <v>640</v>
      </c>
      <c r="E41" s="61">
        <v>0.51927809680065595</v>
      </c>
      <c r="F41" s="56">
        <v>324.89999999999998</v>
      </c>
      <c r="G41" s="59" t="s">
        <v>107</v>
      </c>
      <c r="H41" s="64" t="s">
        <v>225</v>
      </c>
      <c r="I41" s="27">
        <v>0</v>
      </c>
      <c r="J41">
        <v>25</v>
      </c>
      <c r="K41" s="22">
        <f t="shared" si="0"/>
        <v>25</v>
      </c>
      <c r="N41">
        <f t="shared" si="1"/>
        <v>51.93</v>
      </c>
      <c r="O41" s="28">
        <f t="shared" si="2"/>
        <v>325</v>
      </c>
    </row>
    <row r="42" spans="1:15" ht="15" x14ac:dyDescent="0.25">
      <c r="A42" s="53">
        <v>39</v>
      </c>
      <c r="B42" s="52" t="s">
        <v>73</v>
      </c>
      <c r="C42" s="54">
        <v>16</v>
      </c>
      <c r="D42" s="56">
        <v>1499.7333333333299</v>
      </c>
      <c r="E42" s="61">
        <v>0.51801335918983005</v>
      </c>
      <c r="F42" s="56">
        <v>208.27500000000001</v>
      </c>
      <c r="G42" s="59" t="s">
        <v>65</v>
      </c>
      <c r="H42" s="64" t="s">
        <v>232</v>
      </c>
      <c r="I42" s="27">
        <v>0</v>
      </c>
      <c r="K42" s="22">
        <f t="shared" si="0"/>
        <v>0</v>
      </c>
      <c r="N42">
        <f t="shared" si="1"/>
        <v>51.8</v>
      </c>
      <c r="O42" s="28">
        <f t="shared" si="2"/>
        <v>208</v>
      </c>
    </row>
    <row r="43" spans="1:15" ht="15" x14ac:dyDescent="0.25">
      <c r="A43" s="53">
        <v>40</v>
      </c>
      <c r="B43" s="52" t="s">
        <v>173</v>
      </c>
      <c r="C43" s="54">
        <v>16</v>
      </c>
      <c r="D43" s="56">
        <v>633</v>
      </c>
      <c r="E43" s="61">
        <v>0.51736395952966896</v>
      </c>
      <c r="F43" s="56">
        <v>221.28100000000001</v>
      </c>
      <c r="G43" s="59" t="s">
        <v>9</v>
      </c>
      <c r="H43" s="64" t="s">
        <v>233</v>
      </c>
      <c r="I43" s="27">
        <v>0</v>
      </c>
      <c r="J43">
        <v>25</v>
      </c>
      <c r="K43" s="22">
        <f t="shared" si="0"/>
        <v>25</v>
      </c>
      <c r="N43">
        <f t="shared" si="1"/>
        <v>51.74</v>
      </c>
      <c r="O43" s="28">
        <f t="shared" si="2"/>
        <v>221</v>
      </c>
    </row>
    <row r="44" spans="1:15" ht="15" x14ac:dyDescent="0.25">
      <c r="A44" s="53">
        <v>41</v>
      </c>
      <c r="B44" s="52" t="s">
        <v>117</v>
      </c>
      <c r="C44" s="54">
        <v>16</v>
      </c>
      <c r="D44" s="56">
        <v>626.5</v>
      </c>
      <c r="E44" s="61">
        <v>0.51558654634946699</v>
      </c>
      <c r="F44" s="56">
        <v>323.05</v>
      </c>
      <c r="G44" s="59" t="s">
        <v>107</v>
      </c>
      <c r="H44" s="64" t="s">
        <v>234</v>
      </c>
      <c r="I44" s="27">
        <v>0</v>
      </c>
      <c r="K44" s="22">
        <f t="shared" si="0"/>
        <v>0</v>
      </c>
      <c r="N44">
        <f t="shared" si="1"/>
        <v>51.56</v>
      </c>
      <c r="O44" s="28">
        <f t="shared" si="2"/>
        <v>323</v>
      </c>
    </row>
    <row r="45" spans="1:15" ht="15" x14ac:dyDescent="0.25">
      <c r="A45" s="53">
        <v>42</v>
      </c>
      <c r="B45" s="52" t="s">
        <v>182</v>
      </c>
      <c r="C45" s="54">
        <v>16</v>
      </c>
      <c r="D45" s="56">
        <v>605.5</v>
      </c>
      <c r="E45" s="61">
        <v>0.50984413453650501</v>
      </c>
      <c r="F45" s="56">
        <v>112.40300000000001</v>
      </c>
      <c r="G45" s="59" t="s">
        <v>107</v>
      </c>
      <c r="H45" s="64" t="s">
        <v>231</v>
      </c>
      <c r="I45" s="27">
        <v>0</v>
      </c>
      <c r="K45" s="22">
        <f t="shared" si="0"/>
        <v>0</v>
      </c>
      <c r="N45">
        <f t="shared" si="1"/>
        <v>50.98</v>
      </c>
      <c r="O45" s="28">
        <f t="shared" si="2"/>
        <v>112</v>
      </c>
    </row>
    <row r="46" spans="1:15" ht="15" x14ac:dyDescent="0.25">
      <c r="A46" s="53">
        <v>43</v>
      </c>
      <c r="B46" s="52" t="s">
        <v>111</v>
      </c>
      <c r="C46" s="54">
        <v>16</v>
      </c>
      <c r="D46" s="56">
        <v>593</v>
      </c>
      <c r="E46" s="61">
        <v>0.50642603226688498</v>
      </c>
      <c r="F46" s="56">
        <v>412.87700000000001</v>
      </c>
      <c r="G46" s="59" t="s">
        <v>107</v>
      </c>
      <c r="H46" s="64" t="s">
        <v>235</v>
      </c>
      <c r="I46" s="27">
        <v>0</v>
      </c>
      <c r="K46" s="22">
        <f t="shared" si="0"/>
        <v>0</v>
      </c>
      <c r="N46">
        <f t="shared" si="1"/>
        <v>50.64</v>
      </c>
      <c r="O46" s="28">
        <f t="shared" si="2"/>
        <v>413</v>
      </c>
    </row>
    <row r="47" spans="1:15" ht="15" x14ac:dyDescent="0.25">
      <c r="A47" s="53">
        <v>44</v>
      </c>
      <c r="B47" s="52" t="s">
        <v>127</v>
      </c>
      <c r="C47" s="54">
        <v>16</v>
      </c>
      <c r="D47" s="56">
        <v>588.75</v>
      </c>
      <c r="E47" s="61">
        <v>0.50526387749521495</v>
      </c>
      <c r="F47" s="56">
        <v>356.49900000000002</v>
      </c>
      <c r="G47" s="59" t="s">
        <v>107</v>
      </c>
      <c r="H47" s="64" t="s">
        <v>236</v>
      </c>
      <c r="I47" s="27">
        <v>0</v>
      </c>
      <c r="K47" s="22">
        <f t="shared" si="0"/>
        <v>0</v>
      </c>
      <c r="N47">
        <f t="shared" si="1"/>
        <v>50.53</v>
      </c>
      <c r="O47" s="28">
        <f t="shared" si="2"/>
        <v>356</v>
      </c>
    </row>
    <row r="48" spans="1:15" ht="15" x14ac:dyDescent="0.25">
      <c r="A48" s="53">
        <v>45</v>
      </c>
      <c r="B48" s="52" t="s">
        <v>76</v>
      </c>
      <c r="C48" s="54">
        <v>16</v>
      </c>
      <c r="D48" s="56">
        <v>1456.8333333333301</v>
      </c>
      <c r="E48" s="61">
        <v>0.50414781297134204</v>
      </c>
      <c r="F48" s="56">
        <v>72.597999999999999</v>
      </c>
      <c r="G48" s="59" t="s">
        <v>65</v>
      </c>
      <c r="H48" s="64" t="s">
        <v>237</v>
      </c>
      <c r="I48" s="27">
        <v>0</v>
      </c>
      <c r="K48" s="22">
        <f t="shared" si="0"/>
        <v>0</v>
      </c>
      <c r="N48">
        <f t="shared" si="1"/>
        <v>50.41</v>
      </c>
      <c r="O48" s="28">
        <f t="shared" si="2"/>
        <v>73</v>
      </c>
    </row>
    <row r="49" spans="1:15" ht="15" x14ac:dyDescent="0.25">
      <c r="A49" s="53">
        <v>46</v>
      </c>
      <c r="B49" s="52" t="s">
        <v>85</v>
      </c>
      <c r="C49" s="54">
        <v>16</v>
      </c>
      <c r="D49" s="56">
        <v>1447.95</v>
      </c>
      <c r="E49" s="61">
        <v>0.50127666451195896</v>
      </c>
      <c r="F49" s="56">
        <v>215.21299999999999</v>
      </c>
      <c r="G49" s="59" t="s">
        <v>65</v>
      </c>
      <c r="H49" s="64" t="s">
        <v>238</v>
      </c>
      <c r="I49" s="27">
        <v>0</v>
      </c>
      <c r="K49" s="22">
        <f t="shared" si="0"/>
        <v>0</v>
      </c>
      <c r="N49">
        <f t="shared" si="1"/>
        <v>50.13</v>
      </c>
      <c r="O49" s="28">
        <f t="shared" si="2"/>
        <v>215</v>
      </c>
    </row>
    <row r="50" spans="1:15" ht="15" x14ac:dyDescent="0.25">
      <c r="A50" s="53">
        <v>47</v>
      </c>
      <c r="B50" s="52" t="s">
        <v>99</v>
      </c>
      <c r="C50" s="54">
        <v>16</v>
      </c>
      <c r="D50" s="56">
        <v>1443.7874999999999</v>
      </c>
      <c r="E50" s="61">
        <v>0.49993131868131901</v>
      </c>
      <c r="F50" s="56">
        <v>163.24199999999999</v>
      </c>
      <c r="G50" s="59" t="s">
        <v>65</v>
      </c>
      <c r="H50" s="64" t="s">
        <v>239</v>
      </c>
      <c r="I50" s="27">
        <v>0</v>
      </c>
      <c r="K50" s="22">
        <f t="shared" si="0"/>
        <v>0</v>
      </c>
      <c r="N50">
        <f t="shared" si="1"/>
        <v>49.99</v>
      </c>
      <c r="O50" s="28">
        <f t="shared" si="2"/>
        <v>163</v>
      </c>
    </row>
    <row r="51" spans="1:15" ht="15" x14ac:dyDescent="0.25">
      <c r="A51" s="53">
        <v>48</v>
      </c>
      <c r="B51" s="52" t="s">
        <v>11</v>
      </c>
      <c r="C51" s="54">
        <v>16</v>
      </c>
      <c r="D51" s="56">
        <v>562</v>
      </c>
      <c r="E51" s="61">
        <v>0.49794913863822798</v>
      </c>
      <c r="F51" s="56">
        <v>342.089</v>
      </c>
      <c r="G51" s="59" t="s">
        <v>9</v>
      </c>
      <c r="H51" s="64" t="s">
        <v>240</v>
      </c>
      <c r="I51" s="27">
        <v>0</v>
      </c>
      <c r="K51" s="22">
        <f t="shared" si="0"/>
        <v>0</v>
      </c>
      <c r="N51">
        <f t="shared" si="1"/>
        <v>49.79</v>
      </c>
      <c r="O51" s="28">
        <f t="shared" si="2"/>
        <v>342</v>
      </c>
    </row>
    <row r="52" spans="1:15" ht="15" x14ac:dyDescent="0.25">
      <c r="A52" s="53">
        <v>49</v>
      </c>
      <c r="B52" s="52" t="s">
        <v>157</v>
      </c>
      <c r="C52" s="54">
        <v>16</v>
      </c>
      <c r="D52" s="56">
        <v>543</v>
      </c>
      <c r="E52" s="61">
        <v>0.49275362318840599</v>
      </c>
      <c r="F52" s="56">
        <v>293.60399999999998</v>
      </c>
      <c r="G52" s="59" t="s">
        <v>107</v>
      </c>
      <c r="H52" s="64" t="s">
        <v>255</v>
      </c>
      <c r="I52" s="27">
        <v>0</v>
      </c>
      <c r="K52" s="22">
        <f t="shared" si="0"/>
        <v>0</v>
      </c>
      <c r="N52">
        <f t="shared" si="1"/>
        <v>49.28</v>
      </c>
      <c r="O52" s="28">
        <f t="shared" si="2"/>
        <v>294</v>
      </c>
    </row>
    <row r="53" spans="1:15" ht="15" x14ac:dyDescent="0.25">
      <c r="A53" s="53">
        <v>50</v>
      </c>
      <c r="B53" s="52" t="s">
        <v>97</v>
      </c>
      <c r="C53" s="54">
        <v>16</v>
      </c>
      <c r="D53" s="56">
        <v>1420.24583333333</v>
      </c>
      <c r="E53" s="61">
        <v>0.49232250592544702</v>
      </c>
      <c r="F53" s="56">
        <v>99.977999999999994</v>
      </c>
      <c r="G53" s="59" t="s">
        <v>65</v>
      </c>
      <c r="H53" s="64" t="s">
        <v>241</v>
      </c>
      <c r="I53" s="27">
        <v>0</v>
      </c>
      <c r="K53" s="22">
        <f t="shared" si="0"/>
        <v>0</v>
      </c>
      <c r="N53">
        <f t="shared" si="1"/>
        <v>49.23</v>
      </c>
      <c r="O53" s="28">
        <f t="shared" si="2"/>
        <v>100</v>
      </c>
    </row>
    <row r="54" spans="1:15" ht="15" x14ac:dyDescent="0.25">
      <c r="A54" s="53">
        <v>51</v>
      </c>
      <c r="B54" s="52" t="s">
        <v>15</v>
      </c>
      <c r="C54" s="54">
        <v>16</v>
      </c>
      <c r="D54" s="56">
        <v>490</v>
      </c>
      <c r="E54" s="61">
        <v>0.47826086956521702</v>
      </c>
      <c r="F54" s="56">
        <v>167.262</v>
      </c>
      <c r="G54" s="59" t="s">
        <v>9</v>
      </c>
      <c r="H54" s="64" t="s">
        <v>242</v>
      </c>
      <c r="I54" s="27">
        <v>0</v>
      </c>
      <c r="K54" s="22">
        <f t="shared" si="0"/>
        <v>0</v>
      </c>
      <c r="N54">
        <f t="shared" si="1"/>
        <v>47.83</v>
      </c>
      <c r="O54" s="28">
        <f t="shared" si="2"/>
        <v>167</v>
      </c>
    </row>
    <row r="55" spans="1:15" ht="15" x14ac:dyDescent="0.25">
      <c r="A55" s="53">
        <v>52</v>
      </c>
      <c r="B55" s="52" t="s">
        <v>122</v>
      </c>
      <c r="C55" s="54">
        <v>16</v>
      </c>
      <c r="D55" s="56">
        <v>488</v>
      </c>
      <c r="E55" s="61">
        <v>0.47771397320207798</v>
      </c>
      <c r="F55" s="56">
        <v>283.35199999999998</v>
      </c>
      <c r="G55" s="59" t="s">
        <v>107</v>
      </c>
      <c r="H55" s="64" t="s">
        <v>265</v>
      </c>
      <c r="I55" s="27">
        <v>0</v>
      </c>
      <c r="K55" s="22">
        <f t="shared" si="0"/>
        <v>0</v>
      </c>
      <c r="N55">
        <f t="shared" si="1"/>
        <v>47.77</v>
      </c>
      <c r="O55" s="28">
        <f t="shared" si="2"/>
        <v>283</v>
      </c>
    </row>
    <row r="56" spans="1:15" ht="15" x14ac:dyDescent="0.25">
      <c r="A56" s="53">
        <v>53</v>
      </c>
      <c r="B56" s="52" t="s">
        <v>160</v>
      </c>
      <c r="C56" s="54">
        <v>16</v>
      </c>
      <c r="D56" s="56">
        <v>487</v>
      </c>
      <c r="E56" s="61">
        <v>0.47744052502050899</v>
      </c>
      <c r="F56" s="56">
        <v>211.38499999999999</v>
      </c>
      <c r="G56" s="59" t="s">
        <v>107</v>
      </c>
      <c r="H56" s="64" t="s">
        <v>262</v>
      </c>
      <c r="I56" s="27">
        <v>0</v>
      </c>
      <c r="K56" s="22">
        <f t="shared" si="0"/>
        <v>0</v>
      </c>
      <c r="N56">
        <f t="shared" si="1"/>
        <v>47.74</v>
      </c>
      <c r="O56" s="28">
        <f t="shared" si="2"/>
        <v>211</v>
      </c>
    </row>
    <row r="57" spans="1:15" ht="15" x14ac:dyDescent="0.25">
      <c r="A57" s="53">
        <v>54</v>
      </c>
      <c r="B57" s="52" t="s">
        <v>96</v>
      </c>
      <c r="C57" s="54">
        <v>16</v>
      </c>
      <c r="D57" s="56">
        <v>1366.4041666666701</v>
      </c>
      <c r="E57" s="61">
        <v>0.47492054514113302</v>
      </c>
      <c r="F57" s="56">
        <v>157.755</v>
      </c>
      <c r="G57" s="59" t="s">
        <v>65</v>
      </c>
      <c r="H57" s="64" t="s">
        <v>243</v>
      </c>
      <c r="I57" s="27">
        <v>0</v>
      </c>
      <c r="K57" s="22">
        <f t="shared" si="0"/>
        <v>0</v>
      </c>
      <c r="N57">
        <f t="shared" si="1"/>
        <v>47.49</v>
      </c>
      <c r="O57" s="28">
        <f t="shared" si="2"/>
        <v>158</v>
      </c>
    </row>
    <row r="58" spans="1:15" ht="15" x14ac:dyDescent="0.25">
      <c r="A58" s="53">
        <v>55</v>
      </c>
      <c r="B58" s="52" t="s">
        <v>22</v>
      </c>
      <c r="C58" s="54">
        <v>6</v>
      </c>
      <c r="D58" s="56">
        <v>470</v>
      </c>
      <c r="E58" s="61">
        <v>0.47279190593382597</v>
      </c>
      <c r="F58" s="56">
        <v>60.287999999999997</v>
      </c>
      <c r="G58" s="59" t="s">
        <v>9</v>
      </c>
      <c r="H58" s="64" t="s">
        <v>301</v>
      </c>
      <c r="I58" s="27">
        <v>0</v>
      </c>
      <c r="K58" s="22">
        <f t="shared" si="0"/>
        <v>0</v>
      </c>
      <c r="N58">
        <f t="shared" si="1"/>
        <v>47.28</v>
      </c>
      <c r="O58" s="28">
        <f t="shared" si="2"/>
        <v>60</v>
      </c>
    </row>
    <row r="59" spans="1:15" ht="15" x14ac:dyDescent="0.25">
      <c r="A59" s="53">
        <v>56</v>
      </c>
      <c r="B59" s="52" t="s">
        <v>83</v>
      </c>
      <c r="C59" s="54">
        <v>16</v>
      </c>
      <c r="D59" s="56">
        <v>1356.67638888889</v>
      </c>
      <c r="E59" s="61">
        <v>0.471776466997055</v>
      </c>
      <c r="F59" s="56">
        <v>227.65700000000001</v>
      </c>
      <c r="G59" s="59" t="s">
        <v>65</v>
      </c>
      <c r="H59" s="64" t="s">
        <v>244</v>
      </c>
      <c r="I59" s="27">
        <v>0</v>
      </c>
      <c r="K59" s="22">
        <f t="shared" si="0"/>
        <v>0</v>
      </c>
      <c r="N59">
        <f t="shared" si="1"/>
        <v>47.18</v>
      </c>
      <c r="O59" s="28">
        <f t="shared" si="2"/>
        <v>228</v>
      </c>
    </row>
    <row r="60" spans="1:15" ht="15" x14ac:dyDescent="0.25">
      <c r="A60" s="53">
        <v>57</v>
      </c>
      <c r="B60" s="52" t="s">
        <v>17</v>
      </c>
      <c r="C60" s="54">
        <v>8</v>
      </c>
      <c r="D60" s="56">
        <v>459</v>
      </c>
      <c r="E60" s="61">
        <v>0.46978397593656002</v>
      </c>
      <c r="F60" s="56">
        <v>56.05</v>
      </c>
      <c r="G60" s="59" t="s">
        <v>9</v>
      </c>
      <c r="H60" s="64" t="s">
        <v>301</v>
      </c>
      <c r="I60" s="27">
        <v>0</v>
      </c>
      <c r="K60" s="22">
        <f t="shared" si="0"/>
        <v>0</v>
      </c>
      <c r="N60">
        <f t="shared" si="1"/>
        <v>46.98</v>
      </c>
      <c r="O60" s="28">
        <f t="shared" si="2"/>
        <v>56</v>
      </c>
    </row>
    <row r="61" spans="1:15" ht="15" x14ac:dyDescent="0.25">
      <c r="A61" s="53">
        <v>58</v>
      </c>
      <c r="B61" s="52" t="s">
        <v>32</v>
      </c>
      <c r="C61" s="54">
        <v>16</v>
      </c>
      <c r="D61" s="56">
        <v>439</v>
      </c>
      <c r="E61" s="61">
        <v>0.46431501230516797</v>
      </c>
      <c r="F61" s="56">
        <v>154.429</v>
      </c>
      <c r="G61" s="59" t="s">
        <v>9</v>
      </c>
      <c r="H61" s="64" t="s">
        <v>245</v>
      </c>
      <c r="I61" s="27">
        <v>0</v>
      </c>
      <c r="K61" s="22">
        <f t="shared" si="0"/>
        <v>0</v>
      </c>
      <c r="N61">
        <f t="shared" si="1"/>
        <v>46.43</v>
      </c>
      <c r="O61" s="28">
        <f t="shared" si="2"/>
        <v>154</v>
      </c>
    </row>
    <row r="62" spans="1:15" ht="15" x14ac:dyDescent="0.25">
      <c r="A62" s="53">
        <v>59</v>
      </c>
      <c r="B62" s="52" t="s">
        <v>180</v>
      </c>
      <c r="C62" s="54">
        <v>16</v>
      </c>
      <c r="D62" s="56">
        <v>414.5</v>
      </c>
      <c r="E62" s="61">
        <v>0.457615531856713</v>
      </c>
      <c r="F62" s="56">
        <v>276.10399999999998</v>
      </c>
      <c r="G62" s="59" t="s">
        <v>107</v>
      </c>
      <c r="H62" s="64" t="s">
        <v>246</v>
      </c>
      <c r="I62" s="27">
        <v>0</v>
      </c>
      <c r="K62" s="22">
        <f t="shared" si="0"/>
        <v>0</v>
      </c>
      <c r="N62">
        <f t="shared" si="1"/>
        <v>45.76</v>
      </c>
      <c r="O62" s="28">
        <f t="shared" si="2"/>
        <v>276</v>
      </c>
    </row>
    <row r="63" spans="1:15" ht="15" x14ac:dyDescent="0.25">
      <c r="A63" s="53">
        <v>60</v>
      </c>
      <c r="B63" s="52" t="s">
        <v>78</v>
      </c>
      <c r="C63" s="54">
        <v>16</v>
      </c>
      <c r="D63" s="56">
        <v>1312.75</v>
      </c>
      <c r="E63" s="61">
        <v>0.45757918552036198</v>
      </c>
      <c r="F63" s="56">
        <v>445.952</v>
      </c>
      <c r="G63" s="59" t="s">
        <v>65</v>
      </c>
      <c r="H63" s="64" t="s">
        <v>247</v>
      </c>
      <c r="I63" s="27">
        <v>0</v>
      </c>
      <c r="K63" s="22">
        <f t="shared" si="0"/>
        <v>0</v>
      </c>
      <c r="N63">
        <f t="shared" si="1"/>
        <v>45.76</v>
      </c>
      <c r="O63" s="28">
        <f t="shared" si="2"/>
        <v>446</v>
      </c>
    </row>
    <row r="64" spans="1:15" ht="15" x14ac:dyDescent="0.25">
      <c r="A64" s="53">
        <v>61</v>
      </c>
      <c r="B64" s="52" t="s">
        <v>105</v>
      </c>
      <c r="C64" s="54">
        <v>16</v>
      </c>
      <c r="D64" s="56">
        <v>1311.9</v>
      </c>
      <c r="E64" s="61">
        <v>0.45730446024563698</v>
      </c>
      <c r="F64" s="56">
        <v>216.995</v>
      </c>
      <c r="G64" s="59" t="s">
        <v>65</v>
      </c>
      <c r="H64" s="64" t="s">
        <v>248</v>
      </c>
      <c r="I64" s="27">
        <v>0</v>
      </c>
      <c r="K64" s="22">
        <f t="shared" si="0"/>
        <v>0</v>
      </c>
      <c r="N64">
        <f t="shared" si="1"/>
        <v>45.73</v>
      </c>
      <c r="O64" s="28">
        <f t="shared" si="2"/>
        <v>217</v>
      </c>
    </row>
    <row r="65" spans="1:15" ht="15" x14ac:dyDescent="0.25">
      <c r="A65" s="53">
        <v>62</v>
      </c>
      <c r="B65" s="52" t="s">
        <v>31</v>
      </c>
      <c r="C65" s="54">
        <v>5</v>
      </c>
      <c r="D65" s="56">
        <v>406</v>
      </c>
      <c r="E65" s="61">
        <v>0.45529122231337199</v>
      </c>
      <c r="F65" s="56">
        <v>44.74</v>
      </c>
      <c r="G65" s="59" t="s">
        <v>9</v>
      </c>
      <c r="H65" s="64" t="s">
        <v>301</v>
      </c>
      <c r="I65" s="27">
        <v>0</v>
      </c>
      <c r="K65" s="22">
        <f t="shared" si="0"/>
        <v>0</v>
      </c>
      <c r="N65">
        <f t="shared" si="1"/>
        <v>45.53</v>
      </c>
      <c r="O65" s="28">
        <f t="shared" si="2"/>
        <v>45</v>
      </c>
    </row>
    <row r="66" spans="1:15" ht="15" x14ac:dyDescent="0.25">
      <c r="A66" s="53">
        <v>63</v>
      </c>
      <c r="B66" s="52" t="s">
        <v>93</v>
      </c>
      <c r="C66" s="54">
        <v>16</v>
      </c>
      <c r="D66" s="56">
        <v>1302.9000000000001</v>
      </c>
      <c r="E66" s="61">
        <v>0.454395604395604</v>
      </c>
      <c r="F66" s="56">
        <v>68.334000000000003</v>
      </c>
      <c r="G66" s="59" t="s">
        <v>65</v>
      </c>
      <c r="H66" s="64" t="s">
        <v>250</v>
      </c>
      <c r="I66" s="27">
        <v>0</v>
      </c>
      <c r="J66">
        <v>25</v>
      </c>
      <c r="K66" s="22">
        <f t="shared" si="0"/>
        <v>25</v>
      </c>
      <c r="N66">
        <f t="shared" si="1"/>
        <v>45.44</v>
      </c>
      <c r="O66" s="28">
        <f t="shared" si="2"/>
        <v>68</v>
      </c>
    </row>
    <row r="67" spans="1:15" ht="15" x14ac:dyDescent="0.25">
      <c r="A67" s="53">
        <v>64</v>
      </c>
      <c r="B67" s="52" t="s">
        <v>60</v>
      </c>
      <c r="C67" s="54">
        <v>16</v>
      </c>
      <c r="D67" s="56">
        <v>396</v>
      </c>
      <c r="E67" s="61">
        <v>0.45255674049767602</v>
      </c>
      <c r="F67" s="56">
        <v>157.30099999999999</v>
      </c>
      <c r="G67" s="59" t="s">
        <v>9</v>
      </c>
      <c r="H67" s="64" t="s">
        <v>251</v>
      </c>
      <c r="I67" s="27">
        <v>0</v>
      </c>
      <c r="K67" s="22">
        <f t="shared" ref="K67:K130" si="3">I67+J67</f>
        <v>0</v>
      </c>
      <c r="N67">
        <f t="shared" ref="N67:N130" si="4">ROUND(E67*100,2)</f>
        <v>45.26</v>
      </c>
      <c r="O67" s="28">
        <f t="shared" ref="O67:O130" si="5">ROUND(F67,0)</f>
        <v>157</v>
      </c>
    </row>
    <row r="68" spans="1:15" ht="15" x14ac:dyDescent="0.25">
      <c r="A68" s="53">
        <v>65</v>
      </c>
      <c r="B68" s="52" t="s">
        <v>10</v>
      </c>
      <c r="C68" s="54">
        <v>16</v>
      </c>
      <c r="D68" s="56">
        <v>386.75</v>
      </c>
      <c r="E68" s="61">
        <v>0.45002734481815698</v>
      </c>
      <c r="F68" s="56">
        <v>210.64400000000001</v>
      </c>
      <c r="G68" s="59" t="s">
        <v>9</v>
      </c>
      <c r="H68" s="64" t="s">
        <v>253</v>
      </c>
      <c r="I68" s="27">
        <v>0</v>
      </c>
      <c r="K68" s="22">
        <f t="shared" si="3"/>
        <v>0</v>
      </c>
      <c r="N68">
        <f t="shared" si="4"/>
        <v>45</v>
      </c>
      <c r="O68" s="28">
        <f t="shared" si="5"/>
        <v>211</v>
      </c>
    </row>
    <row r="69" spans="1:15" ht="15" x14ac:dyDescent="0.25">
      <c r="A69" s="53">
        <v>65</v>
      </c>
      <c r="B69" s="52" t="s">
        <v>10</v>
      </c>
      <c r="C69" s="54">
        <v>16</v>
      </c>
      <c r="D69" s="56">
        <v>386.75</v>
      </c>
      <c r="E69" s="61">
        <v>0.45002734481815698</v>
      </c>
      <c r="F69" s="56">
        <v>210.64400000000001</v>
      </c>
      <c r="G69" s="59" t="s">
        <v>9</v>
      </c>
      <c r="H69" s="64" t="s">
        <v>252</v>
      </c>
      <c r="I69" s="27">
        <v>0</v>
      </c>
      <c r="K69" s="22">
        <f t="shared" si="3"/>
        <v>0</v>
      </c>
      <c r="N69">
        <f t="shared" si="4"/>
        <v>45</v>
      </c>
      <c r="O69" s="28">
        <f t="shared" si="5"/>
        <v>211</v>
      </c>
    </row>
    <row r="70" spans="1:15" ht="15" x14ac:dyDescent="0.25">
      <c r="A70" s="53">
        <v>66</v>
      </c>
      <c r="B70" s="52" t="s">
        <v>179</v>
      </c>
      <c r="C70" s="54">
        <v>16</v>
      </c>
      <c r="D70" s="56">
        <v>1283.69583333333</v>
      </c>
      <c r="E70" s="61">
        <v>0.44818869855634602</v>
      </c>
      <c r="F70" s="56">
        <v>88.462000000000003</v>
      </c>
      <c r="G70" s="59" t="s">
        <v>65</v>
      </c>
      <c r="H70" s="64" t="s">
        <v>254</v>
      </c>
      <c r="I70" s="27">
        <v>0</v>
      </c>
      <c r="K70" s="22">
        <f t="shared" si="3"/>
        <v>0</v>
      </c>
      <c r="N70">
        <f t="shared" si="4"/>
        <v>44.82</v>
      </c>
      <c r="O70" s="28">
        <f t="shared" si="5"/>
        <v>88</v>
      </c>
    </row>
    <row r="71" spans="1:15" ht="15" x14ac:dyDescent="0.25">
      <c r="A71" s="53">
        <v>67</v>
      </c>
      <c r="B71" s="52" t="s">
        <v>20</v>
      </c>
      <c r="C71" s="54">
        <v>9</v>
      </c>
      <c r="D71" s="56">
        <v>355</v>
      </c>
      <c r="E71" s="61">
        <v>0.441345365053322</v>
      </c>
      <c r="F71" s="56">
        <v>78.444000000000003</v>
      </c>
      <c r="G71" s="59" t="s">
        <v>9</v>
      </c>
      <c r="H71" s="64" t="s">
        <v>301</v>
      </c>
      <c r="I71" s="27">
        <v>0</v>
      </c>
      <c r="K71" s="22">
        <f t="shared" si="3"/>
        <v>0</v>
      </c>
      <c r="N71">
        <f t="shared" si="4"/>
        <v>44.13</v>
      </c>
      <c r="O71" s="28">
        <f t="shared" si="5"/>
        <v>78</v>
      </c>
    </row>
    <row r="72" spans="1:15" ht="15" x14ac:dyDescent="0.25">
      <c r="A72" s="53">
        <v>68</v>
      </c>
      <c r="B72" s="52" t="s">
        <v>30</v>
      </c>
      <c r="C72" s="54">
        <v>4</v>
      </c>
      <c r="D72" s="56">
        <v>342</v>
      </c>
      <c r="E72" s="61">
        <v>0.43779053869291801</v>
      </c>
      <c r="F72" s="56">
        <v>20.673999999999999</v>
      </c>
      <c r="G72" s="59" t="s">
        <v>9</v>
      </c>
      <c r="H72" s="64" t="s">
        <v>301</v>
      </c>
      <c r="I72" s="27">
        <v>0</v>
      </c>
      <c r="K72" s="22">
        <f t="shared" si="3"/>
        <v>0</v>
      </c>
      <c r="N72">
        <f t="shared" si="4"/>
        <v>43.78</v>
      </c>
      <c r="O72" s="28">
        <f t="shared" si="5"/>
        <v>21</v>
      </c>
    </row>
    <row r="73" spans="1:15" ht="15" x14ac:dyDescent="0.25">
      <c r="A73" s="53">
        <v>69</v>
      </c>
      <c r="B73" s="52" t="s">
        <v>88</v>
      </c>
      <c r="C73" s="54">
        <v>16</v>
      </c>
      <c r="D73" s="56">
        <v>1246.0138888888901</v>
      </c>
      <c r="E73" s="61">
        <v>0.436009660274366</v>
      </c>
      <c r="F73" s="56">
        <v>192.8</v>
      </c>
      <c r="G73" s="59" t="s">
        <v>65</v>
      </c>
      <c r="H73" s="64" t="s">
        <v>257</v>
      </c>
      <c r="I73" s="27">
        <v>0</v>
      </c>
      <c r="K73" s="22">
        <f t="shared" si="3"/>
        <v>0</v>
      </c>
      <c r="N73">
        <f t="shared" si="4"/>
        <v>43.6</v>
      </c>
      <c r="O73" s="28">
        <f t="shared" si="5"/>
        <v>193</v>
      </c>
    </row>
    <row r="74" spans="1:15" ht="15" x14ac:dyDescent="0.25">
      <c r="A74" s="53">
        <v>69</v>
      </c>
      <c r="B74" s="52" t="s">
        <v>88</v>
      </c>
      <c r="C74" s="54">
        <v>16</v>
      </c>
      <c r="D74" s="56">
        <v>1246.0138888888901</v>
      </c>
      <c r="E74" s="61">
        <v>0.436009660274366</v>
      </c>
      <c r="F74" s="56">
        <v>192.8</v>
      </c>
      <c r="G74" s="59" t="s">
        <v>65</v>
      </c>
      <c r="H74" s="64" t="s">
        <v>256</v>
      </c>
      <c r="I74" s="27">
        <v>0</v>
      </c>
      <c r="K74" s="22">
        <f t="shared" si="3"/>
        <v>0</v>
      </c>
      <c r="N74">
        <f t="shared" si="4"/>
        <v>43.6</v>
      </c>
      <c r="O74" s="28">
        <f t="shared" si="5"/>
        <v>193</v>
      </c>
    </row>
    <row r="75" spans="1:15" ht="15" x14ac:dyDescent="0.25">
      <c r="A75" s="53">
        <v>70</v>
      </c>
      <c r="B75" s="52" t="s">
        <v>92</v>
      </c>
      <c r="C75" s="54">
        <v>16</v>
      </c>
      <c r="D75" s="56">
        <v>1245.75416666667</v>
      </c>
      <c r="E75" s="61">
        <v>0.435925716440422</v>
      </c>
      <c r="F75" s="56">
        <v>158.80600000000001</v>
      </c>
      <c r="G75" s="59" t="s">
        <v>65</v>
      </c>
      <c r="H75" s="64" t="s">
        <v>258</v>
      </c>
      <c r="I75" s="27">
        <v>0</v>
      </c>
      <c r="K75" s="22">
        <f t="shared" si="3"/>
        <v>0</v>
      </c>
      <c r="N75">
        <f t="shared" si="4"/>
        <v>43.59</v>
      </c>
      <c r="O75" s="28">
        <f t="shared" si="5"/>
        <v>159</v>
      </c>
    </row>
    <row r="76" spans="1:15" ht="15" x14ac:dyDescent="0.25">
      <c r="A76" s="53">
        <v>71</v>
      </c>
      <c r="B76" s="52" t="s">
        <v>28</v>
      </c>
      <c r="C76" s="54">
        <v>16</v>
      </c>
      <c r="D76" s="56">
        <v>325.75</v>
      </c>
      <c r="E76" s="61">
        <v>0.43334700574241197</v>
      </c>
      <c r="F76" s="56">
        <v>276.553</v>
      </c>
      <c r="G76" s="59" t="s">
        <v>9</v>
      </c>
      <c r="H76" s="64" t="s">
        <v>259</v>
      </c>
      <c r="I76" s="27">
        <v>0</v>
      </c>
      <c r="K76" s="22">
        <f t="shared" si="3"/>
        <v>0</v>
      </c>
      <c r="N76">
        <f t="shared" si="4"/>
        <v>43.33</v>
      </c>
      <c r="O76" s="28">
        <f t="shared" si="5"/>
        <v>277</v>
      </c>
    </row>
    <row r="77" spans="1:15" ht="15" x14ac:dyDescent="0.25">
      <c r="A77" s="53">
        <v>72</v>
      </c>
      <c r="B77" s="52" t="s">
        <v>25</v>
      </c>
      <c r="C77" s="54">
        <v>16</v>
      </c>
      <c r="D77" s="56">
        <v>315.5</v>
      </c>
      <c r="E77" s="61">
        <v>0.430544161881323</v>
      </c>
      <c r="F77" s="56">
        <v>168.149</v>
      </c>
      <c r="G77" s="59" t="s">
        <v>9</v>
      </c>
      <c r="H77" s="64" t="s">
        <v>260</v>
      </c>
      <c r="I77" s="27">
        <v>0</v>
      </c>
      <c r="K77" s="22">
        <f t="shared" si="3"/>
        <v>0</v>
      </c>
      <c r="N77">
        <f t="shared" si="4"/>
        <v>43.05</v>
      </c>
      <c r="O77" s="28">
        <f t="shared" si="5"/>
        <v>168</v>
      </c>
    </row>
    <row r="78" spans="1:15" ht="15" x14ac:dyDescent="0.25">
      <c r="A78" s="53">
        <v>73</v>
      </c>
      <c r="B78" s="52" t="s">
        <v>33</v>
      </c>
      <c r="C78" s="54">
        <v>16</v>
      </c>
      <c r="D78" s="56">
        <v>310</v>
      </c>
      <c r="E78" s="61">
        <v>0.42904019688269102</v>
      </c>
      <c r="F78" s="56">
        <v>207.71700000000001</v>
      </c>
      <c r="G78" s="59" t="s">
        <v>9</v>
      </c>
      <c r="H78" s="64" t="s">
        <v>261</v>
      </c>
      <c r="I78" s="27">
        <v>0</v>
      </c>
      <c r="K78" s="22">
        <f t="shared" si="3"/>
        <v>0</v>
      </c>
      <c r="N78">
        <f t="shared" si="4"/>
        <v>42.9</v>
      </c>
      <c r="O78" s="28">
        <f t="shared" si="5"/>
        <v>208</v>
      </c>
    </row>
    <row r="79" spans="1:15" ht="15" x14ac:dyDescent="0.25">
      <c r="A79" s="53">
        <v>74</v>
      </c>
      <c r="B79" s="52" t="s">
        <v>128</v>
      </c>
      <c r="C79" s="54">
        <v>4</v>
      </c>
      <c r="D79" s="56">
        <v>308</v>
      </c>
      <c r="E79" s="61">
        <v>0.42849330051955198</v>
      </c>
      <c r="F79" s="56">
        <v>29.928999999999998</v>
      </c>
      <c r="G79" s="59" t="s">
        <v>107</v>
      </c>
      <c r="H79" s="64" t="s">
        <v>301</v>
      </c>
      <c r="I79" s="27">
        <v>0</v>
      </c>
      <c r="K79" s="22">
        <f t="shared" si="3"/>
        <v>0</v>
      </c>
      <c r="N79">
        <f t="shared" si="4"/>
        <v>42.85</v>
      </c>
      <c r="O79" s="28">
        <f t="shared" si="5"/>
        <v>30</v>
      </c>
    </row>
    <row r="80" spans="1:15" ht="15" x14ac:dyDescent="0.25">
      <c r="A80" s="53">
        <v>75</v>
      </c>
      <c r="B80" s="52" t="s">
        <v>129</v>
      </c>
      <c r="C80" s="54">
        <v>4</v>
      </c>
      <c r="D80" s="56">
        <v>293</v>
      </c>
      <c r="E80" s="61">
        <v>0.424391577796008</v>
      </c>
      <c r="F80" s="56">
        <v>67.831000000000003</v>
      </c>
      <c r="G80" s="59" t="s">
        <v>107</v>
      </c>
      <c r="H80" s="64" t="s">
        <v>301</v>
      </c>
      <c r="I80" s="27">
        <v>0</v>
      </c>
      <c r="K80" s="22">
        <f t="shared" si="3"/>
        <v>0</v>
      </c>
      <c r="N80">
        <f t="shared" si="4"/>
        <v>42.44</v>
      </c>
      <c r="O80" s="28">
        <f t="shared" si="5"/>
        <v>68</v>
      </c>
    </row>
    <row r="81" spans="1:15" ht="15" x14ac:dyDescent="0.25">
      <c r="A81" s="53">
        <v>76</v>
      </c>
      <c r="B81" s="52" t="s">
        <v>124</v>
      </c>
      <c r="C81" s="54">
        <v>5</v>
      </c>
      <c r="D81" s="56">
        <v>291</v>
      </c>
      <c r="E81" s="61">
        <v>0.42384468143286802</v>
      </c>
      <c r="F81" s="56">
        <v>73.828999999999994</v>
      </c>
      <c r="G81" s="59" t="s">
        <v>107</v>
      </c>
      <c r="H81" s="64" t="s">
        <v>301</v>
      </c>
      <c r="I81" s="27">
        <v>0</v>
      </c>
      <c r="K81" s="22">
        <f t="shared" si="3"/>
        <v>0</v>
      </c>
      <c r="N81">
        <f t="shared" si="4"/>
        <v>42.38</v>
      </c>
      <c r="O81" s="28">
        <f t="shared" si="5"/>
        <v>74</v>
      </c>
    </row>
    <row r="82" spans="1:15" ht="15" x14ac:dyDescent="0.25">
      <c r="A82" s="53">
        <v>77</v>
      </c>
      <c r="B82" s="52" t="s">
        <v>27</v>
      </c>
      <c r="C82" s="54">
        <v>16</v>
      </c>
      <c r="D82" s="56">
        <v>287</v>
      </c>
      <c r="E82" s="61">
        <v>0.42275088870659</v>
      </c>
      <c r="F82" s="56">
        <v>224.46799999999999</v>
      </c>
      <c r="G82" s="59" t="s">
        <v>9</v>
      </c>
      <c r="H82" s="64" t="s">
        <v>263</v>
      </c>
      <c r="I82" s="27">
        <v>0</v>
      </c>
      <c r="K82" s="22">
        <f t="shared" si="3"/>
        <v>0</v>
      </c>
      <c r="N82">
        <f t="shared" si="4"/>
        <v>42.28</v>
      </c>
      <c r="O82" s="28">
        <f t="shared" si="5"/>
        <v>224</v>
      </c>
    </row>
    <row r="83" spans="1:15" ht="15" x14ac:dyDescent="0.25">
      <c r="A83" s="53">
        <v>78</v>
      </c>
      <c r="B83" s="52" t="s">
        <v>170</v>
      </c>
      <c r="C83" s="54">
        <v>16</v>
      </c>
      <c r="D83" s="56">
        <v>287</v>
      </c>
      <c r="E83" s="61">
        <v>0.42275088870659</v>
      </c>
      <c r="F83" s="56">
        <v>269.87799999999999</v>
      </c>
      <c r="G83" s="59" t="s">
        <v>9</v>
      </c>
      <c r="H83" s="64" t="s">
        <v>264</v>
      </c>
      <c r="I83" s="27">
        <v>0</v>
      </c>
      <c r="K83" s="22">
        <f t="shared" si="3"/>
        <v>0</v>
      </c>
      <c r="N83">
        <f t="shared" si="4"/>
        <v>42.28</v>
      </c>
      <c r="O83" s="28">
        <f t="shared" si="5"/>
        <v>270</v>
      </c>
    </row>
    <row r="84" spans="1:15" ht="15" x14ac:dyDescent="0.25">
      <c r="A84" s="53">
        <v>79</v>
      </c>
      <c r="B84" s="52" t="s">
        <v>101</v>
      </c>
      <c r="C84" s="54">
        <v>16</v>
      </c>
      <c r="D84" s="56">
        <v>1196.55</v>
      </c>
      <c r="E84" s="61">
        <v>0.42002262443438898</v>
      </c>
      <c r="F84" s="56">
        <v>89.010999999999996</v>
      </c>
      <c r="G84" s="59" t="s">
        <v>65</v>
      </c>
      <c r="H84" s="64" t="s">
        <v>266</v>
      </c>
      <c r="I84" s="27">
        <v>0</v>
      </c>
      <c r="K84" s="22">
        <f t="shared" si="3"/>
        <v>0</v>
      </c>
      <c r="N84">
        <f t="shared" si="4"/>
        <v>42</v>
      </c>
      <c r="O84" s="28">
        <f t="shared" si="5"/>
        <v>89</v>
      </c>
    </row>
    <row r="85" spans="1:15" ht="15" x14ac:dyDescent="0.25">
      <c r="A85" s="53">
        <v>80</v>
      </c>
      <c r="B85" s="52" t="s">
        <v>36</v>
      </c>
      <c r="C85" s="54">
        <v>5</v>
      </c>
      <c r="D85" s="56">
        <v>262</v>
      </c>
      <c r="E85" s="61">
        <v>0.41591468416735</v>
      </c>
      <c r="F85" s="56">
        <v>46.777000000000001</v>
      </c>
      <c r="G85" s="59" t="s">
        <v>9</v>
      </c>
      <c r="H85" s="64" t="s">
        <v>301</v>
      </c>
      <c r="I85" s="27">
        <v>0</v>
      </c>
      <c r="K85" s="22">
        <f t="shared" si="3"/>
        <v>0</v>
      </c>
      <c r="N85">
        <f t="shared" si="4"/>
        <v>41.59</v>
      </c>
      <c r="O85" s="28">
        <f t="shared" si="5"/>
        <v>47</v>
      </c>
    </row>
    <row r="86" spans="1:15" ht="15" x14ac:dyDescent="0.25">
      <c r="A86" s="53">
        <v>81</v>
      </c>
      <c r="B86" s="52" t="s">
        <v>183</v>
      </c>
      <c r="C86" s="54">
        <v>16</v>
      </c>
      <c r="D86" s="56">
        <v>262</v>
      </c>
      <c r="E86" s="61">
        <v>0.41591468416735</v>
      </c>
      <c r="F86" s="56">
        <v>228.66200000000001</v>
      </c>
      <c r="G86" s="59" t="s">
        <v>107</v>
      </c>
      <c r="H86" s="64" t="s">
        <v>267</v>
      </c>
      <c r="I86" s="27">
        <v>0</v>
      </c>
      <c r="K86" s="22">
        <f t="shared" si="3"/>
        <v>0</v>
      </c>
      <c r="N86">
        <f t="shared" si="4"/>
        <v>41.59</v>
      </c>
      <c r="O86" s="28">
        <f t="shared" si="5"/>
        <v>229</v>
      </c>
    </row>
    <row r="87" spans="1:15" ht="15" x14ac:dyDescent="0.25">
      <c r="A87" s="53">
        <v>82</v>
      </c>
      <c r="B87" s="52" t="s">
        <v>113</v>
      </c>
      <c r="C87" s="54">
        <v>16</v>
      </c>
      <c r="D87" s="56">
        <v>262</v>
      </c>
      <c r="E87" s="61">
        <v>0.41591468416735</v>
      </c>
      <c r="F87" s="56">
        <v>255.87899999999999</v>
      </c>
      <c r="G87" s="59" t="s">
        <v>107</v>
      </c>
      <c r="H87" s="64" t="s">
        <v>249</v>
      </c>
      <c r="I87" s="27">
        <v>0</v>
      </c>
      <c r="K87" s="22">
        <f t="shared" si="3"/>
        <v>0</v>
      </c>
      <c r="N87">
        <f t="shared" si="4"/>
        <v>41.59</v>
      </c>
      <c r="O87" s="28">
        <f t="shared" si="5"/>
        <v>256</v>
      </c>
    </row>
    <row r="88" spans="1:15" ht="15" x14ac:dyDescent="0.25">
      <c r="A88" s="53">
        <v>83</v>
      </c>
      <c r="B88" s="52" t="s">
        <v>150</v>
      </c>
      <c r="C88" s="54">
        <v>16</v>
      </c>
      <c r="D88" s="56">
        <v>258</v>
      </c>
      <c r="E88" s="61">
        <v>0.41482089144107198</v>
      </c>
      <c r="F88" s="56">
        <v>192.66200000000001</v>
      </c>
      <c r="G88" s="59" t="s">
        <v>107</v>
      </c>
      <c r="H88" s="64" t="s">
        <v>285</v>
      </c>
      <c r="I88" s="27">
        <v>0</v>
      </c>
      <c r="K88" s="22">
        <f t="shared" si="3"/>
        <v>0</v>
      </c>
      <c r="N88">
        <f t="shared" si="4"/>
        <v>41.48</v>
      </c>
      <c r="O88" s="28">
        <f t="shared" si="5"/>
        <v>193</v>
      </c>
    </row>
    <row r="89" spans="1:15" ht="15" x14ac:dyDescent="0.25">
      <c r="A89" s="53">
        <v>84</v>
      </c>
      <c r="B89" s="52" t="s">
        <v>26</v>
      </c>
      <c r="C89" s="54">
        <v>16</v>
      </c>
      <c r="D89" s="56">
        <v>254.75</v>
      </c>
      <c r="E89" s="61">
        <v>0.413932184850971</v>
      </c>
      <c r="F89" s="56">
        <v>117.35899999999999</v>
      </c>
      <c r="G89" s="59" t="s">
        <v>9</v>
      </c>
      <c r="H89" s="64" t="s">
        <v>269</v>
      </c>
      <c r="I89" s="27">
        <v>0</v>
      </c>
      <c r="K89" s="22">
        <f t="shared" si="3"/>
        <v>0</v>
      </c>
      <c r="N89">
        <f t="shared" si="4"/>
        <v>41.39</v>
      </c>
      <c r="O89" s="28">
        <f t="shared" si="5"/>
        <v>117</v>
      </c>
    </row>
    <row r="90" spans="1:15" ht="15" x14ac:dyDescent="0.25">
      <c r="A90" s="53">
        <v>85</v>
      </c>
      <c r="B90" s="52" t="s">
        <v>37</v>
      </c>
      <c r="C90" s="54">
        <v>4</v>
      </c>
      <c r="D90" s="56">
        <v>253</v>
      </c>
      <c r="E90" s="61">
        <v>0.41345365053322403</v>
      </c>
      <c r="F90" s="56">
        <v>32.706000000000003</v>
      </c>
      <c r="G90" s="59" t="s">
        <v>9</v>
      </c>
      <c r="H90" s="64" t="s">
        <v>301</v>
      </c>
      <c r="I90" s="27">
        <v>0</v>
      </c>
      <c r="K90" s="22">
        <f t="shared" si="3"/>
        <v>0</v>
      </c>
      <c r="N90">
        <f t="shared" si="4"/>
        <v>41.35</v>
      </c>
      <c r="O90" s="28">
        <f t="shared" si="5"/>
        <v>33</v>
      </c>
    </row>
    <row r="91" spans="1:15" ht="15" x14ac:dyDescent="0.25">
      <c r="A91" s="53">
        <v>86</v>
      </c>
      <c r="B91" s="52" t="s">
        <v>131</v>
      </c>
      <c r="C91" s="54">
        <v>4</v>
      </c>
      <c r="D91" s="56">
        <v>247</v>
      </c>
      <c r="E91" s="61">
        <v>0.41181296144380602</v>
      </c>
      <c r="F91" s="56">
        <v>45.313000000000002</v>
      </c>
      <c r="G91" s="59" t="s">
        <v>107</v>
      </c>
      <c r="H91" s="64" t="s">
        <v>301</v>
      </c>
      <c r="I91" s="27">
        <v>0</v>
      </c>
      <c r="K91" s="22">
        <f t="shared" si="3"/>
        <v>0</v>
      </c>
      <c r="N91">
        <f t="shared" si="4"/>
        <v>41.18</v>
      </c>
      <c r="O91" s="28">
        <f t="shared" si="5"/>
        <v>45</v>
      </c>
    </row>
    <row r="92" spans="1:15" ht="15" x14ac:dyDescent="0.25">
      <c r="A92" s="53">
        <v>87</v>
      </c>
      <c r="B92" s="52" t="s">
        <v>172</v>
      </c>
      <c r="C92" s="54">
        <v>5</v>
      </c>
      <c r="D92" s="56">
        <v>246</v>
      </c>
      <c r="E92" s="61">
        <v>0.41153951326223698</v>
      </c>
      <c r="F92" s="56">
        <v>68.138000000000005</v>
      </c>
      <c r="G92" s="59" t="s">
        <v>9</v>
      </c>
      <c r="H92" s="64" t="s">
        <v>301</v>
      </c>
      <c r="I92" s="27">
        <v>0</v>
      </c>
      <c r="K92" s="22">
        <f t="shared" si="3"/>
        <v>0</v>
      </c>
      <c r="N92">
        <f t="shared" si="4"/>
        <v>41.15</v>
      </c>
      <c r="O92" s="28">
        <f t="shared" si="5"/>
        <v>68</v>
      </c>
    </row>
    <row r="93" spans="1:15" ht="15" x14ac:dyDescent="0.25">
      <c r="A93" s="53">
        <v>88</v>
      </c>
      <c r="B93" s="52" t="s">
        <v>189</v>
      </c>
      <c r="C93" s="54">
        <v>10</v>
      </c>
      <c r="D93" s="56">
        <v>245</v>
      </c>
      <c r="E93" s="61">
        <v>0.41126606508066699</v>
      </c>
      <c r="F93" s="56">
        <v>155.726</v>
      </c>
      <c r="G93" s="59" t="s">
        <v>107</v>
      </c>
      <c r="H93" s="64" t="s">
        <v>301</v>
      </c>
      <c r="I93" s="27">
        <v>0</v>
      </c>
      <c r="K93" s="22">
        <f t="shared" si="3"/>
        <v>0</v>
      </c>
      <c r="N93">
        <f t="shared" si="4"/>
        <v>41.13</v>
      </c>
      <c r="O93" s="28">
        <f t="shared" si="5"/>
        <v>156</v>
      </c>
    </row>
    <row r="94" spans="1:15" ht="15" x14ac:dyDescent="0.25">
      <c r="A94" s="53">
        <v>89</v>
      </c>
      <c r="B94" s="52" t="s">
        <v>131</v>
      </c>
      <c r="C94" s="54">
        <v>4</v>
      </c>
      <c r="D94" s="56">
        <v>232</v>
      </c>
      <c r="E94" s="61">
        <v>0.40771123872026199</v>
      </c>
      <c r="F94" s="56">
        <v>53.783000000000001</v>
      </c>
      <c r="G94" s="59" t="s">
        <v>107</v>
      </c>
      <c r="H94" s="64" t="s">
        <v>301</v>
      </c>
      <c r="I94" s="27">
        <v>0</v>
      </c>
      <c r="K94" s="22">
        <f t="shared" si="3"/>
        <v>0</v>
      </c>
      <c r="N94">
        <f t="shared" si="4"/>
        <v>40.770000000000003</v>
      </c>
      <c r="O94" s="28">
        <f t="shared" si="5"/>
        <v>54</v>
      </c>
    </row>
    <row r="95" spans="1:15" ht="15" x14ac:dyDescent="0.25">
      <c r="A95" s="53">
        <v>90</v>
      </c>
      <c r="B95" s="52" t="s">
        <v>34</v>
      </c>
      <c r="C95" s="54">
        <v>4</v>
      </c>
      <c r="D95" s="56">
        <v>230</v>
      </c>
      <c r="E95" s="61">
        <v>0.40716434235712301</v>
      </c>
      <c r="F95" s="56">
        <v>33.75</v>
      </c>
      <c r="G95" s="59" t="s">
        <v>9</v>
      </c>
      <c r="H95" s="64" t="s">
        <v>301</v>
      </c>
      <c r="I95" s="27">
        <v>0</v>
      </c>
      <c r="K95" s="22">
        <f t="shared" si="3"/>
        <v>0</v>
      </c>
      <c r="N95">
        <f t="shared" si="4"/>
        <v>40.72</v>
      </c>
      <c r="O95" s="28">
        <f t="shared" si="5"/>
        <v>34</v>
      </c>
    </row>
    <row r="96" spans="1:15" ht="15" x14ac:dyDescent="0.25">
      <c r="A96" s="53">
        <v>91</v>
      </c>
      <c r="B96" s="52" t="s">
        <v>35</v>
      </c>
      <c r="C96" s="54">
        <v>4</v>
      </c>
      <c r="D96" s="56">
        <v>229</v>
      </c>
      <c r="E96" s="61">
        <v>0.40689089417555402</v>
      </c>
      <c r="F96" s="56">
        <v>21.242999999999999</v>
      </c>
      <c r="G96" s="59" t="s">
        <v>9</v>
      </c>
      <c r="H96" s="64" t="s">
        <v>301</v>
      </c>
      <c r="I96" s="27">
        <v>0</v>
      </c>
      <c r="K96" s="22">
        <f t="shared" si="3"/>
        <v>0</v>
      </c>
      <c r="N96">
        <f t="shared" si="4"/>
        <v>40.69</v>
      </c>
      <c r="O96" s="28">
        <f t="shared" si="5"/>
        <v>21</v>
      </c>
    </row>
    <row r="97" spans="1:15" ht="15" x14ac:dyDescent="0.25">
      <c r="A97" s="53">
        <v>92</v>
      </c>
      <c r="B97" s="52" t="s">
        <v>120</v>
      </c>
      <c r="C97" s="54">
        <v>16</v>
      </c>
      <c r="D97" s="56">
        <v>228.5</v>
      </c>
      <c r="E97" s="61">
        <v>0.406754170084769</v>
      </c>
      <c r="F97" s="56">
        <v>516.67100000000005</v>
      </c>
      <c r="G97" s="59" t="s">
        <v>107</v>
      </c>
      <c r="H97" s="64" t="s">
        <v>270</v>
      </c>
      <c r="I97" s="27">
        <v>0</v>
      </c>
      <c r="K97" s="22">
        <f t="shared" si="3"/>
        <v>0</v>
      </c>
      <c r="N97">
        <f t="shared" si="4"/>
        <v>40.68</v>
      </c>
      <c r="O97" s="28">
        <f t="shared" si="5"/>
        <v>517</v>
      </c>
    </row>
    <row r="98" spans="1:15" ht="15" x14ac:dyDescent="0.25">
      <c r="A98" s="53">
        <v>93</v>
      </c>
      <c r="B98" s="52" t="s">
        <v>38</v>
      </c>
      <c r="C98" s="54">
        <v>16</v>
      </c>
      <c r="D98" s="56">
        <v>207</v>
      </c>
      <c r="E98" s="61">
        <v>0.40087503418102299</v>
      </c>
      <c r="F98" s="56">
        <v>216.14699999999999</v>
      </c>
      <c r="G98" s="59" t="s">
        <v>9</v>
      </c>
      <c r="H98" s="64" t="s">
        <v>271</v>
      </c>
      <c r="I98" s="27">
        <v>0</v>
      </c>
      <c r="K98" s="22">
        <f t="shared" si="3"/>
        <v>0</v>
      </c>
      <c r="N98">
        <f t="shared" si="4"/>
        <v>40.090000000000003</v>
      </c>
      <c r="O98" s="28">
        <f t="shared" si="5"/>
        <v>216</v>
      </c>
    </row>
    <row r="99" spans="1:15" ht="15" x14ac:dyDescent="0.25">
      <c r="A99" s="53">
        <v>94</v>
      </c>
      <c r="B99" s="52" t="s">
        <v>158</v>
      </c>
      <c r="C99" s="54">
        <v>16</v>
      </c>
      <c r="D99" s="56">
        <v>197.5</v>
      </c>
      <c r="E99" s="61">
        <v>0.39827727645611199</v>
      </c>
      <c r="F99" s="56">
        <v>475.70699999999999</v>
      </c>
      <c r="G99" s="59" t="s">
        <v>107</v>
      </c>
      <c r="H99" s="64" t="s">
        <v>268</v>
      </c>
      <c r="I99" s="27">
        <v>0</v>
      </c>
      <c r="K99" s="22">
        <f t="shared" si="3"/>
        <v>0</v>
      </c>
      <c r="N99">
        <f t="shared" si="4"/>
        <v>39.83</v>
      </c>
      <c r="O99" s="28">
        <f t="shared" si="5"/>
        <v>476</v>
      </c>
    </row>
    <row r="100" spans="1:15" ht="15" x14ac:dyDescent="0.25">
      <c r="A100" s="53">
        <v>95</v>
      </c>
      <c r="B100" s="52" t="s">
        <v>132</v>
      </c>
      <c r="C100" s="54">
        <v>3</v>
      </c>
      <c r="D100" s="56">
        <v>186</v>
      </c>
      <c r="E100" s="61">
        <v>0.39513262236806102</v>
      </c>
      <c r="F100" s="56">
        <v>16.536000000000001</v>
      </c>
      <c r="G100" s="59" t="s">
        <v>107</v>
      </c>
      <c r="H100" s="64" t="s">
        <v>301</v>
      </c>
      <c r="I100" s="27">
        <v>0</v>
      </c>
      <c r="K100" s="22">
        <f t="shared" si="3"/>
        <v>0</v>
      </c>
      <c r="N100">
        <f t="shared" si="4"/>
        <v>39.51</v>
      </c>
      <c r="O100" s="28">
        <f t="shared" si="5"/>
        <v>17</v>
      </c>
    </row>
    <row r="101" spans="1:15" ht="15" x14ac:dyDescent="0.25">
      <c r="A101" s="53">
        <v>96</v>
      </c>
      <c r="B101" s="52" t="s">
        <v>159</v>
      </c>
      <c r="C101" s="54">
        <v>16</v>
      </c>
      <c r="D101" s="56">
        <v>176</v>
      </c>
      <c r="E101" s="61">
        <v>0.39239814055236499</v>
      </c>
      <c r="F101" s="56">
        <v>208.78899999999999</v>
      </c>
      <c r="G101" s="59" t="s">
        <v>107</v>
      </c>
      <c r="H101" s="64" t="s">
        <v>272</v>
      </c>
      <c r="I101" s="27">
        <v>0</v>
      </c>
      <c r="K101" s="22">
        <f t="shared" si="3"/>
        <v>0</v>
      </c>
      <c r="N101">
        <f t="shared" si="4"/>
        <v>39.24</v>
      </c>
      <c r="O101" s="28">
        <f t="shared" si="5"/>
        <v>209</v>
      </c>
    </row>
    <row r="102" spans="1:15" ht="15" x14ac:dyDescent="0.25">
      <c r="A102" s="53">
        <v>97</v>
      </c>
      <c r="B102" s="52" t="s">
        <v>39</v>
      </c>
      <c r="C102" s="54">
        <v>2</v>
      </c>
      <c r="D102" s="56">
        <v>173</v>
      </c>
      <c r="E102" s="61">
        <v>0.39157779600765702</v>
      </c>
      <c r="F102" s="56">
        <v>22.466000000000001</v>
      </c>
      <c r="G102" s="59" t="s">
        <v>9</v>
      </c>
      <c r="H102" s="64" t="s">
        <v>301</v>
      </c>
      <c r="I102" s="27">
        <v>0</v>
      </c>
      <c r="K102" s="22">
        <f t="shared" si="3"/>
        <v>0</v>
      </c>
      <c r="N102">
        <f t="shared" si="4"/>
        <v>39.159999999999997</v>
      </c>
      <c r="O102" s="28">
        <f t="shared" si="5"/>
        <v>22</v>
      </c>
    </row>
    <row r="103" spans="1:15" ht="15" x14ac:dyDescent="0.25">
      <c r="A103" s="53">
        <v>98</v>
      </c>
      <c r="B103" s="52" t="s">
        <v>133</v>
      </c>
      <c r="C103" s="54">
        <v>2</v>
      </c>
      <c r="D103" s="56">
        <v>173</v>
      </c>
      <c r="E103" s="61">
        <v>0.39157779600765702</v>
      </c>
      <c r="F103" s="56">
        <v>22.692</v>
      </c>
      <c r="G103" s="59" t="s">
        <v>107</v>
      </c>
      <c r="H103" s="64" t="s">
        <v>301</v>
      </c>
      <c r="I103" s="27">
        <v>0</v>
      </c>
      <c r="K103" s="22">
        <f t="shared" si="3"/>
        <v>0</v>
      </c>
      <c r="N103">
        <f t="shared" si="4"/>
        <v>39.159999999999997</v>
      </c>
      <c r="O103" s="28">
        <f t="shared" si="5"/>
        <v>23</v>
      </c>
    </row>
    <row r="104" spans="1:15" ht="15" x14ac:dyDescent="0.25">
      <c r="A104" s="53">
        <v>99</v>
      </c>
      <c r="B104" s="52" t="s">
        <v>40</v>
      </c>
      <c r="C104" s="54">
        <v>16</v>
      </c>
      <c r="D104" s="56">
        <v>172</v>
      </c>
      <c r="E104" s="61">
        <v>0.39130434782608697</v>
      </c>
      <c r="F104" s="56">
        <v>130.77000000000001</v>
      </c>
      <c r="G104" s="59" t="s">
        <v>9</v>
      </c>
      <c r="H104" s="64" t="s">
        <v>273</v>
      </c>
      <c r="I104" s="27">
        <v>0</v>
      </c>
      <c r="K104" s="22">
        <f t="shared" si="3"/>
        <v>0</v>
      </c>
      <c r="N104">
        <f t="shared" si="4"/>
        <v>39.130000000000003</v>
      </c>
      <c r="O104" s="28">
        <f t="shared" si="5"/>
        <v>131</v>
      </c>
    </row>
    <row r="105" spans="1:15" ht="15" x14ac:dyDescent="0.25">
      <c r="A105" s="53">
        <v>100</v>
      </c>
      <c r="B105" s="52" t="s">
        <v>42</v>
      </c>
      <c r="C105" s="54">
        <v>3</v>
      </c>
      <c r="D105" s="56">
        <v>165</v>
      </c>
      <c r="E105" s="61">
        <v>0.38939021055509998</v>
      </c>
      <c r="F105" s="56">
        <v>21.423999999999999</v>
      </c>
      <c r="G105" s="59" t="s">
        <v>9</v>
      </c>
      <c r="H105" s="64" t="s">
        <v>301</v>
      </c>
      <c r="I105" s="27">
        <v>0</v>
      </c>
      <c r="K105" s="22">
        <f t="shared" si="3"/>
        <v>0</v>
      </c>
      <c r="N105">
        <f t="shared" si="4"/>
        <v>38.94</v>
      </c>
      <c r="O105" s="28">
        <f t="shared" si="5"/>
        <v>21</v>
      </c>
    </row>
    <row r="106" spans="1:15" ht="15" x14ac:dyDescent="0.25">
      <c r="A106" s="53">
        <v>101</v>
      </c>
      <c r="B106" s="52" t="s">
        <v>79</v>
      </c>
      <c r="C106" s="54">
        <v>16</v>
      </c>
      <c r="D106" s="56">
        <v>1099.75</v>
      </c>
      <c r="E106" s="61">
        <v>0.38873626373626402</v>
      </c>
      <c r="F106" s="56">
        <v>24.288</v>
      </c>
      <c r="G106" s="59" t="s">
        <v>65</v>
      </c>
      <c r="H106" s="64" t="s">
        <v>274</v>
      </c>
      <c r="I106" s="27">
        <v>0</v>
      </c>
      <c r="K106" s="22">
        <f t="shared" si="3"/>
        <v>0</v>
      </c>
      <c r="N106">
        <f t="shared" si="4"/>
        <v>38.869999999999997</v>
      </c>
      <c r="O106" s="28">
        <f t="shared" si="5"/>
        <v>24</v>
      </c>
    </row>
    <row r="107" spans="1:15" ht="15" x14ac:dyDescent="0.25">
      <c r="A107" s="53">
        <v>102</v>
      </c>
      <c r="B107" s="52" t="s">
        <v>41</v>
      </c>
      <c r="C107" s="54">
        <v>3</v>
      </c>
      <c r="D107" s="56">
        <v>162</v>
      </c>
      <c r="E107" s="61">
        <v>0.38856986601039101</v>
      </c>
      <c r="F107" s="56">
        <v>21.02</v>
      </c>
      <c r="G107" s="59" t="s">
        <v>9</v>
      </c>
      <c r="H107" s="64" t="s">
        <v>301</v>
      </c>
      <c r="I107" s="27">
        <v>0</v>
      </c>
      <c r="K107" s="22">
        <f t="shared" si="3"/>
        <v>0</v>
      </c>
      <c r="N107">
        <f t="shared" si="4"/>
        <v>38.86</v>
      </c>
      <c r="O107" s="28">
        <f t="shared" si="5"/>
        <v>21</v>
      </c>
    </row>
    <row r="108" spans="1:15" ht="15" x14ac:dyDescent="0.25">
      <c r="A108" s="53">
        <v>103</v>
      </c>
      <c r="B108" s="52" t="s">
        <v>139</v>
      </c>
      <c r="C108" s="54">
        <v>2</v>
      </c>
      <c r="D108" s="56">
        <v>161</v>
      </c>
      <c r="E108" s="61">
        <v>0.38829641782882102</v>
      </c>
      <c r="F108" s="56">
        <v>20.236000000000001</v>
      </c>
      <c r="G108" s="59" t="s">
        <v>107</v>
      </c>
      <c r="H108" s="64" t="s">
        <v>301</v>
      </c>
      <c r="I108" s="27">
        <v>0</v>
      </c>
      <c r="K108" s="22">
        <f t="shared" si="3"/>
        <v>0</v>
      </c>
      <c r="N108">
        <f t="shared" si="4"/>
        <v>38.83</v>
      </c>
      <c r="O108" s="28">
        <f t="shared" si="5"/>
        <v>20</v>
      </c>
    </row>
    <row r="109" spans="1:15" ht="15" x14ac:dyDescent="0.25">
      <c r="A109" s="53">
        <v>104</v>
      </c>
      <c r="B109" s="52" t="s">
        <v>50</v>
      </c>
      <c r="C109" s="54">
        <v>2</v>
      </c>
      <c r="D109" s="56">
        <v>161</v>
      </c>
      <c r="E109" s="61">
        <v>0.38829641782882102</v>
      </c>
      <c r="F109" s="56">
        <v>24.091999999999999</v>
      </c>
      <c r="G109" s="59" t="s">
        <v>9</v>
      </c>
      <c r="H109" s="64" t="s">
        <v>301</v>
      </c>
      <c r="I109" s="27">
        <v>0</v>
      </c>
      <c r="K109" s="22">
        <f t="shared" si="3"/>
        <v>0</v>
      </c>
      <c r="N109">
        <f t="shared" si="4"/>
        <v>38.83</v>
      </c>
      <c r="O109" s="28">
        <f t="shared" si="5"/>
        <v>24</v>
      </c>
    </row>
    <row r="110" spans="1:15" ht="15" x14ac:dyDescent="0.25">
      <c r="A110" s="53">
        <v>105</v>
      </c>
      <c r="B110" s="52" t="s">
        <v>136</v>
      </c>
      <c r="C110" s="54">
        <v>4</v>
      </c>
      <c r="D110" s="56">
        <v>157</v>
      </c>
      <c r="E110" s="61">
        <v>0.387202625102543</v>
      </c>
      <c r="F110" s="56">
        <v>43.91</v>
      </c>
      <c r="G110" s="59" t="s">
        <v>107</v>
      </c>
      <c r="H110" s="64" t="s">
        <v>301</v>
      </c>
      <c r="I110" s="27">
        <v>0</v>
      </c>
      <c r="K110" s="22">
        <f t="shared" si="3"/>
        <v>0</v>
      </c>
      <c r="N110">
        <f t="shared" si="4"/>
        <v>38.72</v>
      </c>
      <c r="O110" s="28">
        <f t="shared" si="5"/>
        <v>44</v>
      </c>
    </row>
    <row r="111" spans="1:15" ht="15" x14ac:dyDescent="0.25">
      <c r="A111" s="53">
        <v>106</v>
      </c>
      <c r="B111" s="52" t="s">
        <v>151</v>
      </c>
      <c r="C111" s="54">
        <v>16</v>
      </c>
      <c r="D111" s="56">
        <v>156</v>
      </c>
      <c r="E111" s="61">
        <v>0.38692917692097301</v>
      </c>
      <c r="F111" s="56">
        <v>243.78899999999999</v>
      </c>
      <c r="G111" s="59" t="s">
        <v>107</v>
      </c>
      <c r="H111" s="64" t="s">
        <v>280</v>
      </c>
      <c r="I111" s="27">
        <v>0</v>
      </c>
      <c r="K111" s="22">
        <f t="shared" si="3"/>
        <v>0</v>
      </c>
      <c r="N111">
        <f t="shared" si="4"/>
        <v>38.69</v>
      </c>
      <c r="O111" s="28">
        <f t="shared" si="5"/>
        <v>244</v>
      </c>
    </row>
    <row r="112" spans="1:15" ht="15" x14ac:dyDescent="0.25">
      <c r="A112" s="53">
        <v>107</v>
      </c>
      <c r="B112" s="52" t="s">
        <v>86</v>
      </c>
      <c r="C112" s="54">
        <v>16</v>
      </c>
      <c r="D112" s="56">
        <v>1090.2638888888901</v>
      </c>
      <c r="E112" s="61">
        <v>0.38567029375852901</v>
      </c>
      <c r="F112" s="56">
        <v>157.64400000000001</v>
      </c>
      <c r="G112" s="59" t="s">
        <v>65</v>
      </c>
      <c r="H112" s="64" t="s">
        <v>275</v>
      </c>
      <c r="I112" s="27">
        <v>0</v>
      </c>
      <c r="J112">
        <v>25</v>
      </c>
      <c r="K112" s="22">
        <f t="shared" si="3"/>
        <v>25</v>
      </c>
      <c r="N112">
        <f t="shared" si="4"/>
        <v>38.57</v>
      </c>
      <c r="O112" s="28">
        <f t="shared" si="5"/>
        <v>158</v>
      </c>
    </row>
    <row r="113" spans="1:15" ht="15" x14ac:dyDescent="0.25">
      <c r="A113" s="53">
        <v>108</v>
      </c>
      <c r="B113" s="52" t="s">
        <v>44</v>
      </c>
      <c r="C113" s="54">
        <v>3</v>
      </c>
      <c r="D113" s="56">
        <v>147</v>
      </c>
      <c r="E113" s="61">
        <v>0.38446814328684698</v>
      </c>
      <c r="F113" s="56">
        <v>33.363999999999997</v>
      </c>
      <c r="G113" s="59" t="s">
        <v>9</v>
      </c>
      <c r="H113" s="64" t="s">
        <v>301</v>
      </c>
      <c r="I113" s="27">
        <v>0</v>
      </c>
      <c r="K113" s="22">
        <f t="shared" si="3"/>
        <v>0</v>
      </c>
      <c r="N113">
        <f t="shared" si="4"/>
        <v>38.450000000000003</v>
      </c>
      <c r="O113" s="28">
        <f t="shared" si="5"/>
        <v>33</v>
      </c>
    </row>
    <row r="114" spans="1:15" ht="15" x14ac:dyDescent="0.25">
      <c r="A114" s="53">
        <v>109</v>
      </c>
      <c r="B114" s="52" t="s">
        <v>134</v>
      </c>
      <c r="C114" s="54">
        <v>3</v>
      </c>
      <c r="D114" s="56">
        <v>144</v>
      </c>
      <c r="E114" s="61">
        <v>0.383647798742138</v>
      </c>
      <c r="F114" s="56">
        <v>66.519000000000005</v>
      </c>
      <c r="G114" s="59" t="s">
        <v>107</v>
      </c>
      <c r="H114" s="64" t="s">
        <v>301</v>
      </c>
      <c r="I114" s="27">
        <v>0</v>
      </c>
      <c r="K114" s="22">
        <f t="shared" si="3"/>
        <v>0</v>
      </c>
      <c r="N114">
        <f t="shared" si="4"/>
        <v>38.36</v>
      </c>
      <c r="O114" s="28">
        <f t="shared" si="5"/>
        <v>67</v>
      </c>
    </row>
    <row r="115" spans="1:15" ht="15" x14ac:dyDescent="0.25">
      <c r="A115" s="53">
        <v>110</v>
      </c>
      <c r="B115" s="52" t="s">
        <v>137</v>
      </c>
      <c r="C115" s="54">
        <v>4</v>
      </c>
      <c r="D115" s="56">
        <v>139</v>
      </c>
      <c r="E115" s="61">
        <v>0.38228055783428999</v>
      </c>
      <c r="F115" s="56">
        <v>34.353999999999999</v>
      </c>
      <c r="G115" s="59" t="s">
        <v>107</v>
      </c>
      <c r="H115" s="64" t="s">
        <v>301</v>
      </c>
      <c r="I115" s="27">
        <v>0</v>
      </c>
      <c r="K115" s="22">
        <f t="shared" si="3"/>
        <v>0</v>
      </c>
      <c r="N115">
        <f t="shared" si="4"/>
        <v>38.229999999999997</v>
      </c>
      <c r="O115" s="28">
        <f t="shared" si="5"/>
        <v>34</v>
      </c>
    </row>
    <row r="116" spans="1:15" ht="15" x14ac:dyDescent="0.25">
      <c r="A116" s="53">
        <v>111</v>
      </c>
      <c r="B116" s="52" t="s">
        <v>66</v>
      </c>
      <c r="C116" s="54">
        <v>16</v>
      </c>
      <c r="D116" s="56">
        <v>1078.75</v>
      </c>
      <c r="E116" s="61">
        <v>0.38194893341952202</v>
      </c>
      <c r="F116" s="56">
        <v>163.297</v>
      </c>
      <c r="G116" s="59" t="s">
        <v>65</v>
      </c>
      <c r="H116" s="64" t="s">
        <v>277</v>
      </c>
      <c r="I116" s="27">
        <v>0</v>
      </c>
      <c r="K116" s="22">
        <f t="shared" si="3"/>
        <v>0</v>
      </c>
      <c r="N116">
        <f t="shared" si="4"/>
        <v>38.19</v>
      </c>
      <c r="O116" s="28">
        <f t="shared" si="5"/>
        <v>163</v>
      </c>
    </row>
    <row r="117" spans="1:15" ht="15" x14ac:dyDescent="0.25">
      <c r="A117" s="53">
        <v>112</v>
      </c>
      <c r="B117" s="52" t="s">
        <v>45</v>
      </c>
      <c r="C117" s="54">
        <v>15</v>
      </c>
      <c r="D117" s="56">
        <v>129</v>
      </c>
      <c r="E117" s="61">
        <v>0.37954607601859403</v>
      </c>
      <c r="F117" s="56">
        <v>139.75</v>
      </c>
      <c r="G117" s="59" t="s">
        <v>9</v>
      </c>
      <c r="H117" s="64" t="s">
        <v>301</v>
      </c>
      <c r="I117" s="27">
        <v>0</v>
      </c>
      <c r="K117" s="22">
        <f t="shared" si="3"/>
        <v>0</v>
      </c>
      <c r="N117">
        <f t="shared" si="4"/>
        <v>37.950000000000003</v>
      </c>
      <c r="O117" s="28">
        <f t="shared" si="5"/>
        <v>140</v>
      </c>
    </row>
    <row r="118" spans="1:15" ht="15" x14ac:dyDescent="0.25">
      <c r="A118" s="53">
        <v>113</v>
      </c>
      <c r="B118" s="52" t="s">
        <v>138</v>
      </c>
      <c r="C118" s="54">
        <v>4</v>
      </c>
      <c r="D118" s="56">
        <v>127</v>
      </c>
      <c r="E118" s="61">
        <v>0.37899917965545499</v>
      </c>
      <c r="F118" s="56">
        <v>60.378</v>
      </c>
      <c r="G118" s="59" t="s">
        <v>107</v>
      </c>
      <c r="H118" s="64" t="s">
        <v>301</v>
      </c>
      <c r="I118" s="27">
        <v>0</v>
      </c>
      <c r="K118" s="22">
        <f t="shared" si="3"/>
        <v>0</v>
      </c>
      <c r="N118">
        <f t="shared" si="4"/>
        <v>37.9</v>
      </c>
      <c r="O118" s="28">
        <f t="shared" si="5"/>
        <v>60</v>
      </c>
    </row>
    <row r="119" spans="1:15" ht="15" x14ac:dyDescent="0.25">
      <c r="A119" s="53">
        <v>114</v>
      </c>
      <c r="B119" s="52" t="s">
        <v>43</v>
      </c>
      <c r="C119" s="54">
        <v>2</v>
      </c>
      <c r="D119" s="56">
        <v>114</v>
      </c>
      <c r="E119" s="61">
        <v>0.37544435329505099</v>
      </c>
      <c r="F119" s="56">
        <v>27.643999999999998</v>
      </c>
      <c r="G119" s="59" t="s">
        <v>9</v>
      </c>
      <c r="H119" s="64" t="s">
        <v>301</v>
      </c>
      <c r="I119" s="27">
        <v>0</v>
      </c>
      <c r="K119" s="22">
        <f t="shared" si="3"/>
        <v>0</v>
      </c>
      <c r="N119">
        <f t="shared" si="4"/>
        <v>37.54</v>
      </c>
      <c r="O119" s="28">
        <f t="shared" si="5"/>
        <v>28</v>
      </c>
    </row>
    <row r="120" spans="1:15" ht="15" x14ac:dyDescent="0.25">
      <c r="A120" s="53">
        <v>115</v>
      </c>
      <c r="B120" s="52" t="s">
        <v>47</v>
      </c>
      <c r="C120" s="54">
        <v>2</v>
      </c>
      <c r="D120" s="56">
        <v>93</v>
      </c>
      <c r="E120" s="61">
        <v>0.36970194148208901</v>
      </c>
      <c r="F120" s="56">
        <v>32.94</v>
      </c>
      <c r="G120" s="59" t="s">
        <v>9</v>
      </c>
      <c r="H120" s="64" t="s">
        <v>301</v>
      </c>
      <c r="I120" s="27">
        <v>0</v>
      </c>
      <c r="K120" s="22">
        <f t="shared" si="3"/>
        <v>0</v>
      </c>
      <c r="N120">
        <f t="shared" si="4"/>
        <v>36.97</v>
      </c>
      <c r="O120" s="28">
        <f t="shared" si="5"/>
        <v>33</v>
      </c>
    </row>
    <row r="121" spans="1:15" ht="15" x14ac:dyDescent="0.25">
      <c r="A121" s="53">
        <v>116</v>
      </c>
      <c r="B121" s="52" t="s">
        <v>140</v>
      </c>
      <c r="C121" s="54">
        <v>4</v>
      </c>
      <c r="D121" s="56">
        <v>87</v>
      </c>
      <c r="E121" s="61">
        <v>0.36806125239267201</v>
      </c>
      <c r="F121" s="56">
        <v>15.411</v>
      </c>
      <c r="G121" s="59" t="s">
        <v>107</v>
      </c>
      <c r="H121" s="64" t="s">
        <v>301</v>
      </c>
      <c r="I121" s="27">
        <v>0</v>
      </c>
      <c r="K121" s="22">
        <f t="shared" si="3"/>
        <v>0</v>
      </c>
      <c r="N121">
        <f t="shared" si="4"/>
        <v>36.81</v>
      </c>
      <c r="O121" s="28">
        <f t="shared" si="5"/>
        <v>15</v>
      </c>
    </row>
    <row r="122" spans="1:15" ht="15" x14ac:dyDescent="0.25">
      <c r="A122" s="53">
        <v>117</v>
      </c>
      <c r="B122" s="52" t="s">
        <v>48</v>
      </c>
      <c r="C122" s="54">
        <v>1</v>
      </c>
      <c r="D122" s="56">
        <v>84</v>
      </c>
      <c r="E122" s="61">
        <v>0.36724090784796298</v>
      </c>
      <c r="F122" s="56">
        <v>15.502000000000001</v>
      </c>
      <c r="G122" s="59" t="s">
        <v>9</v>
      </c>
      <c r="H122" s="64" t="s">
        <v>301</v>
      </c>
      <c r="I122" s="27">
        <v>0</v>
      </c>
      <c r="K122" s="22">
        <f t="shared" si="3"/>
        <v>0</v>
      </c>
      <c r="N122">
        <f t="shared" si="4"/>
        <v>36.72</v>
      </c>
      <c r="O122" s="28">
        <f t="shared" si="5"/>
        <v>16</v>
      </c>
    </row>
    <row r="123" spans="1:15" ht="15" x14ac:dyDescent="0.25">
      <c r="A123" s="53">
        <v>118</v>
      </c>
      <c r="B123" s="52" t="s">
        <v>141</v>
      </c>
      <c r="C123" s="54">
        <v>1</v>
      </c>
      <c r="D123" s="56">
        <v>84</v>
      </c>
      <c r="E123" s="61">
        <v>0.36724090784796298</v>
      </c>
      <c r="F123" s="56">
        <v>21.844000000000001</v>
      </c>
      <c r="G123" s="59" t="s">
        <v>107</v>
      </c>
      <c r="H123" s="64" t="s">
        <v>301</v>
      </c>
      <c r="I123" s="27">
        <v>0</v>
      </c>
      <c r="K123" s="22">
        <f t="shared" si="3"/>
        <v>0</v>
      </c>
      <c r="N123">
        <f t="shared" si="4"/>
        <v>36.72</v>
      </c>
      <c r="O123" s="28">
        <f t="shared" si="5"/>
        <v>22</v>
      </c>
    </row>
    <row r="124" spans="1:15" ht="15" x14ac:dyDescent="0.25">
      <c r="A124" s="53">
        <v>119</v>
      </c>
      <c r="B124" s="52" t="s">
        <v>188</v>
      </c>
      <c r="C124" s="54">
        <v>1</v>
      </c>
      <c r="D124" s="56">
        <v>84</v>
      </c>
      <c r="E124" s="61">
        <v>0.36724090784796298</v>
      </c>
      <c r="F124" s="56">
        <v>28.414000000000001</v>
      </c>
      <c r="G124" s="59" t="s">
        <v>107</v>
      </c>
      <c r="H124" s="64" t="s">
        <v>301</v>
      </c>
      <c r="I124" s="27">
        <v>0</v>
      </c>
      <c r="K124" s="22">
        <f t="shared" si="3"/>
        <v>0</v>
      </c>
      <c r="N124">
        <f t="shared" si="4"/>
        <v>36.72</v>
      </c>
      <c r="O124" s="28">
        <f t="shared" si="5"/>
        <v>28</v>
      </c>
    </row>
    <row r="125" spans="1:15" ht="15" x14ac:dyDescent="0.25">
      <c r="A125" s="53">
        <v>120</v>
      </c>
      <c r="B125" s="52" t="s">
        <v>49</v>
      </c>
      <c r="C125" s="54">
        <v>4</v>
      </c>
      <c r="D125" s="56">
        <v>84</v>
      </c>
      <c r="E125" s="61">
        <v>0.36724090784796298</v>
      </c>
      <c r="F125" s="56">
        <v>39.615000000000002</v>
      </c>
      <c r="G125" s="59" t="s">
        <v>9</v>
      </c>
      <c r="H125" s="64" t="s">
        <v>301</v>
      </c>
      <c r="I125" s="27">
        <v>0</v>
      </c>
      <c r="K125" s="22">
        <f t="shared" si="3"/>
        <v>0</v>
      </c>
      <c r="N125">
        <f t="shared" si="4"/>
        <v>36.72</v>
      </c>
      <c r="O125" s="28">
        <f t="shared" si="5"/>
        <v>40</v>
      </c>
    </row>
    <row r="126" spans="1:15" ht="15" x14ac:dyDescent="0.25">
      <c r="A126" s="53">
        <v>121</v>
      </c>
      <c r="B126" s="52" t="s">
        <v>142</v>
      </c>
      <c r="C126" s="54">
        <v>1</v>
      </c>
      <c r="D126" s="56">
        <v>79</v>
      </c>
      <c r="E126" s="61">
        <v>0.36587366694011503</v>
      </c>
      <c r="F126" s="56">
        <v>10.444000000000001</v>
      </c>
      <c r="G126" s="59" t="s">
        <v>107</v>
      </c>
      <c r="H126" s="64" t="s">
        <v>301</v>
      </c>
      <c r="I126" s="27">
        <v>0</v>
      </c>
      <c r="K126" s="22">
        <f t="shared" si="3"/>
        <v>0</v>
      </c>
      <c r="N126">
        <f t="shared" si="4"/>
        <v>36.590000000000003</v>
      </c>
      <c r="O126" s="28">
        <f t="shared" si="5"/>
        <v>10</v>
      </c>
    </row>
    <row r="127" spans="1:15" ht="15" x14ac:dyDescent="0.25">
      <c r="A127" s="53">
        <v>122</v>
      </c>
      <c r="B127" s="52" t="s">
        <v>143</v>
      </c>
      <c r="C127" s="54">
        <v>1</v>
      </c>
      <c r="D127" s="56">
        <v>79</v>
      </c>
      <c r="E127" s="61">
        <v>0.36587366694011503</v>
      </c>
      <c r="F127" s="56">
        <v>22.04</v>
      </c>
      <c r="G127" s="59" t="s">
        <v>107</v>
      </c>
      <c r="H127" s="64" t="s">
        <v>301</v>
      </c>
      <c r="I127" s="27">
        <v>0</v>
      </c>
      <c r="K127" s="22">
        <f t="shared" si="3"/>
        <v>0</v>
      </c>
      <c r="N127">
        <f t="shared" si="4"/>
        <v>36.590000000000003</v>
      </c>
      <c r="O127" s="28">
        <f t="shared" si="5"/>
        <v>22</v>
      </c>
    </row>
    <row r="128" spans="1:15" ht="15" x14ac:dyDescent="0.25">
      <c r="A128" s="53">
        <v>123</v>
      </c>
      <c r="B128" s="52" t="s">
        <v>144</v>
      </c>
      <c r="C128" s="54">
        <v>1</v>
      </c>
      <c r="D128" s="56">
        <v>79</v>
      </c>
      <c r="E128" s="61">
        <v>0.36587366694011503</v>
      </c>
      <c r="F128" s="56">
        <v>30.841999999999999</v>
      </c>
      <c r="G128" s="59" t="s">
        <v>107</v>
      </c>
      <c r="H128" s="64" t="s">
        <v>301</v>
      </c>
      <c r="I128" s="27">
        <v>0</v>
      </c>
      <c r="K128" s="22">
        <f t="shared" si="3"/>
        <v>0</v>
      </c>
      <c r="N128">
        <f t="shared" si="4"/>
        <v>36.590000000000003</v>
      </c>
      <c r="O128" s="28">
        <f t="shared" si="5"/>
        <v>31</v>
      </c>
    </row>
    <row r="129" spans="1:15" ht="15" x14ac:dyDescent="0.25">
      <c r="A129" s="53">
        <v>124</v>
      </c>
      <c r="B129" s="52" t="s">
        <v>51</v>
      </c>
      <c r="C129" s="54">
        <v>4</v>
      </c>
      <c r="D129" s="56">
        <v>75</v>
      </c>
      <c r="E129" s="61">
        <v>0.36477987421383601</v>
      </c>
      <c r="F129" s="56">
        <v>37.607999999999997</v>
      </c>
      <c r="G129" s="59" t="s">
        <v>9</v>
      </c>
      <c r="H129" s="64" t="s">
        <v>301</v>
      </c>
      <c r="I129" s="27">
        <v>0</v>
      </c>
      <c r="K129" s="22">
        <f t="shared" si="3"/>
        <v>0</v>
      </c>
      <c r="N129">
        <f t="shared" si="4"/>
        <v>36.479999999999997</v>
      </c>
      <c r="O129" s="28">
        <f t="shared" si="5"/>
        <v>38</v>
      </c>
    </row>
    <row r="130" spans="1:15" ht="15" x14ac:dyDescent="0.25">
      <c r="A130" s="53">
        <v>125</v>
      </c>
      <c r="B130" s="52" t="s">
        <v>52</v>
      </c>
      <c r="C130" s="54">
        <v>3</v>
      </c>
      <c r="D130" s="56">
        <v>75</v>
      </c>
      <c r="E130" s="61">
        <v>0.36477987421383601</v>
      </c>
      <c r="F130" s="56">
        <v>38.795999999999999</v>
      </c>
      <c r="G130" s="59" t="s">
        <v>9</v>
      </c>
      <c r="H130" s="64" t="s">
        <v>301</v>
      </c>
      <c r="I130" s="27">
        <v>0</v>
      </c>
      <c r="K130" s="22">
        <f t="shared" si="3"/>
        <v>0</v>
      </c>
      <c r="N130">
        <f t="shared" si="4"/>
        <v>36.479999999999997</v>
      </c>
      <c r="O130" s="28">
        <f t="shared" si="5"/>
        <v>39</v>
      </c>
    </row>
    <row r="131" spans="1:15" ht="15" x14ac:dyDescent="0.25">
      <c r="A131" s="53">
        <v>126</v>
      </c>
      <c r="B131" s="52" t="s">
        <v>176</v>
      </c>
      <c r="C131" s="54">
        <v>1</v>
      </c>
      <c r="D131" s="56">
        <v>72</v>
      </c>
      <c r="E131" s="61">
        <v>0.36395952966912798</v>
      </c>
      <c r="F131" s="56">
        <v>11.938000000000001</v>
      </c>
      <c r="G131" s="59" t="s">
        <v>9</v>
      </c>
      <c r="H131" s="64" t="s">
        <v>301</v>
      </c>
      <c r="I131" s="27">
        <v>0</v>
      </c>
      <c r="K131" s="22">
        <f t="shared" ref="K131:K177" si="6">I131+J131</f>
        <v>0</v>
      </c>
      <c r="N131">
        <f t="shared" ref="N131:N194" si="7">ROUND(E131*100,2)</f>
        <v>36.4</v>
      </c>
      <c r="O131" s="28">
        <f t="shared" ref="O131:O194" si="8">ROUND(F131,0)</f>
        <v>12</v>
      </c>
    </row>
    <row r="132" spans="1:15" ht="15" x14ac:dyDescent="0.25">
      <c r="A132" s="53">
        <v>127</v>
      </c>
      <c r="B132" s="52" t="s">
        <v>145</v>
      </c>
      <c r="C132" s="54">
        <v>1</v>
      </c>
      <c r="D132" s="56">
        <v>72</v>
      </c>
      <c r="E132" s="61">
        <v>0.36395952966912798</v>
      </c>
      <c r="F132" s="56">
        <v>20.059999999999999</v>
      </c>
      <c r="G132" s="59" t="s">
        <v>107</v>
      </c>
      <c r="H132" s="64" t="s">
        <v>301</v>
      </c>
      <c r="I132" s="27">
        <v>0</v>
      </c>
      <c r="K132" s="22">
        <f t="shared" si="6"/>
        <v>0</v>
      </c>
      <c r="N132">
        <f t="shared" si="7"/>
        <v>36.4</v>
      </c>
      <c r="O132" s="28">
        <f t="shared" si="8"/>
        <v>20</v>
      </c>
    </row>
    <row r="133" spans="1:15" ht="15" x14ac:dyDescent="0.25">
      <c r="A133" s="53">
        <v>128</v>
      </c>
      <c r="B133" s="52" t="s">
        <v>174</v>
      </c>
      <c r="C133" s="54">
        <v>2</v>
      </c>
      <c r="D133" s="56">
        <v>72</v>
      </c>
      <c r="E133" s="61">
        <v>0.36395952966912798</v>
      </c>
      <c r="F133" s="56">
        <v>25.946999999999999</v>
      </c>
      <c r="G133" s="59" t="s">
        <v>9</v>
      </c>
      <c r="H133" s="64" t="s">
        <v>301</v>
      </c>
      <c r="I133" s="27">
        <v>0</v>
      </c>
      <c r="K133" s="22">
        <f t="shared" si="6"/>
        <v>0</v>
      </c>
      <c r="N133">
        <f t="shared" si="7"/>
        <v>36.4</v>
      </c>
      <c r="O133" s="28">
        <f t="shared" si="8"/>
        <v>26</v>
      </c>
    </row>
    <row r="134" spans="1:15" ht="15" x14ac:dyDescent="0.25">
      <c r="A134" s="53">
        <v>129</v>
      </c>
      <c r="B134" s="52" t="s">
        <v>146</v>
      </c>
      <c r="C134" s="54">
        <v>1</v>
      </c>
      <c r="D134" s="56">
        <v>72</v>
      </c>
      <c r="E134" s="61">
        <v>0.36395952966912798</v>
      </c>
      <c r="F134" s="56">
        <v>25.995999999999999</v>
      </c>
      <c r="G134" s="59" t="s">
        <v>107</v>
      </c>
      <c r="H134" s="64" t="s">
        <v>301</v>
      </c>
      <c r="I134" s="27">
        <v>0</v>
      </c>
      <c r="K134" s="22">
        <f t="shared" si="6"/>
        <v>0</v>
      </c>
      <c r="N134">
        <f t="shared" si="7"/>
        <v>36.4</v>
      </c>
      <c r="O134" s="28">
        <f t="shared" si="8"/>
        <v>26</v>
      </c>
    </row>
    <row r="135" spans="1:15" ht="15" x14ac:dyDescent="0.25">
      <c r="A135" s="53">
        <v>130</v>
      </c>
      <c r="B135" s="52" t="s">
        <v>147</v>
      </c>
      <c r="C135" s="54">
        <v>16</v>
      </c>
      <c r="D135" s="56">
        <v>72</v>
      </c>
      <c r="E135" s="61">
        <v>0.36395952966912798</v>
      </c>
      <c r="F135" s="56">
        <v>77.995999999999995</v>
      </c>
      <c r="G135" s="59" t="s">
        <v>107</v>
      </c>
      <c r="H135" s="64" t="s">
        <v>279</v>
      </c>
      <c r="I135" s="27">
        <v>0</v>
      </c>
      <c r="K135" s="22">
        <f t="shared" si="6"/>
        <v>0</v>
      </c>
      <c r="N135">
        <f t="shared" si="7"/>
        <v>36.4</v>
      </c>
      <c r="O135" s="28">
        <f t="shared" si="8"/>
        <v>78</v>
      </c>
    </row>
    <row r="136" spans="1:15" ht="15" x14ac:dyDescent="0.25">
      <c r="A136" s="53">
        <v>131</v>
      </c>
      <c r="B136" s="52" t="s">
        <v>55</v>
      </c>
      <c r="C136" s="54">
        <v>2</v>
      </c>
      <c r="D136" s="56">
        <v>68</v>
      </c>
      <c r="E136" s="61">
        <v>0.36286573694284902</v>
      </c>
      <c r="F136" s="56">
        <v>23.669</v>
      </c>
      <c r="G136" s="59" t="s">
        <v>9</v>
      </c>
      <c r="H136" s="64" t="s">
        <v>301</v>
      </c>
      <c r="I136" s="27">
        <v>0</v>
      </c>
      <c r="K136" s="22">
        <f t="shared" si="6"/>
        <v>0</v>
      </c>
      <c r="N136">
        <f t="shared" si="7"/>
        <v>36.29</v>
      </c>
      <c r="O136" s="28">
        <f t="shared" si="8"/>
        <v>24</v>
      </c>
    </row>
    <row r="137" spans="1:15" ht="15" x14ac:dyDescent="0.25">
      <c r="A137" s="53">
        <v>132</v>
      </c>
      <c r="B137" s="52" t="s">
        <v>148</v>
      </c>
      <c r="C137" s="54">
        <v>3</v>
      </c>
      <c r="D137" s="56">
        <v>57</v>
      </c>
      <c r="E137" s="61">
        <v>0.359857806945584</v>
      </c>
      <c r="F137" s="56">
        <v>24.43</v>
      </c>
      <c r="G137" s="59" t="s">
        <v>107</v>
      </c>
      <c r="H137" s="64" t="s">
        <v>301</v>
      </c>
      <c r="I137" s="27">
        <v>0</v>
      </c>
      <c r="K137" s="22">
        <f t="shared" si="6"/>
        <v>0</v>
      </c>
      <c r="N137">
        <f t="shared" si="7"/>
        <v>35.99</v>
      </c>
      <c r="O137" s="28">
        <f t="shared" si="8"/>
        <v>24</v>
      </c>
    </row>
    <row r="138" spans="1:15" ht="15" x14ac:dyDescent="0.25">
      <c r="A138" s="53">
        <v>133</v>
      </c>
      <c r="B138" s="52" t="s">
        <v>149</v>
      </c>
      <c r="C138" s="54">
        <v>2</v>
      </c>
      <c r="D138" s="56">
        <v>55</v>
      </c>
      <c r="E138" s="61">
        <v>0.35931091058244502</v>
      </c>
      <c r="F138" s="56">
        <v>39.11</v>
      </c>
      <c r="G138" s="59" t="s">
        <v>107</v>
      </c>
      <c r="H138" s="64" t="s">
        <v>301</v>
      </c>
      <c r="I138" s="27">
        <v>0</v>
      </c>
      <c r="K138" s="22">
        <f t="shared" si="6"/>
        <v>0</v>
      </c>
      <c r="N138">
        <f t="shared" si="7"/>
        <v>35.93</v>
      </c>
      <c r="O138" s="28">
        <f t="shared" si="8"/>
        <v>39</v>
      </c>
    </row>
    <row r="139" spans="1:15" ht="15" x14ac:dyDescent="0.25">
      <c r="A139" s="53">
        <v>134</v>
      </c>
      <c r="B139" s="52" t="s">
        <v>186</v>
      </c>
      <c r="C139" s="54">
        <v>1</v>
      </c>
      <c r="D139" s="56">
        <v>52</v>
      </c>
      <c r="E139" s="61">
        <v>0.35849056603773599</v>
      </c>
      <c r="F139" s="56">
        <v>7.0309999999999997</v>
      </c>
      <c r="G139" s="59" t="s">
        <v>107</v>
      </c>
      <c r="H139" s="64" t="s">
        <v>301</v>
      </c>
      <c r="I139" s="27">
        <v>0</v>
      </c>
      <c r="K139" s="22">
        <f t="shared" si="6"/>
        <v>0</v>
      </c>
      <c r="N139">
        <f t="shared" si="7"/>
        <v>35.85</v>
      </c>
      <c r="O139" s="28">
        <f t="shared" si="8"/>
        <v>7</v>
      </c>
    </row>
    <row r="140" spans="1:15" ht="15" x14ac:dyDescent="0.25">
      <c r="A140" s="53">
        <v>135</v>
      </c>
      <c r="B140" s="52" t="s">
        <v>46</v>
      </c>
      <c r="C140" s="54">
        <v>1</v>
      </c>
      <c r="D140" s="56">
        <v>52</v>
      </c>
      <c r="E140" s="61">
        <v>0.35849056603773599</v>
      </c>
      <c r="F140" s="56">
        <v>12.191000000000001</v>
      </c>
      <c r="G140" s="59" t="s">
        <v>9</v>
      </c>
      <c r="H140" s="64" t="s">
        <v>301</v>
      </c>
      <c r="I140" s="27">
        <v>0</v>
      </c>
      <c r="K140" s="22">
        <f t="shared" si="6"/>
        <v>0</v>
      </c>
      <c r="N140">
        <f t="shared" si="7"/>
        <v>35.85</v>
      </c>
      <c r="O140" s="28">
        <f t="shared" si="8"/>
        <v>12</v>
      </c>
    </row>
    <row r="141" spans="1:15" ht="15" x14ac:dyDescent="0.25">
      <c r="A141" s="53">
        <v>136</v>
      </c>
      <c r="B141" s="52" t="s">
        <v>53</v>
      </c>
      <c r="C141" s="54">
        <v>1</v>
      </c>
      <c r="D141" s="56">
        <v>52</v>
      </c>
      <c r="E141" s="61">
        <v>0.35849056603773599</v>
      </c>
      <c r="F141" s="56">
        <v>17.378</v>
      </c>
      <c r="G141" s="59" t="s">
        <v>9</v>
      </c>
      <c r="H141" s="64" t="s">
        <v>301</v>
      </c>
      <c r="I141" s="27">
        <v>0</v>
      </c>
      <c r="K141" s="22">
        <f t="shared" si="6"/>
        <v>0</v>
      </c>
      <c r="N141">
        <f t="shared" si="7"/>
        <v>35.85</v>
      </c>
      <c r="O141" s="28">
        <f t="shared" si="8"/>
        <v>17</v>
      </c>
    </row>
    <row r="142" spans="1:15" ht="15" x14ac:dyDescent="0.25">
      <c r="A142" s="53">
        <v>137</v>
      </c>
      <c r="B142" s="52" t="s">
        <v>54</v>
      </c>
      <c r="C142" s="54">
        <v>1</v>
      </c>
      <c r="D142" s="56">
        <v>46</v>
      </c>
      <c r="E142" s="61">
        <v>0.35684987694831799</v>
      </c>
      <c r="F142" s="56">
        <v>19.344999999999999</v>
      </c>
      <c r="G142" s="59" t="s">
        <v>9</v>
      </c>
      <c r="H142" s="64" t="s">
        <v>301</v>
      </c>
      <c r="I142" s="27">
        <v>0</v>
      </c>
      <c r="K142" s="22">
        <f t="shared" si="6"/>
        <v>0</v>
      </c>
      <c r="N142">
        <f t="shared" si="7"/>
        <v>35.68</v>
      </c>
      <c r="O142" s="28">
        <f t="shared" si="8"/>
        <v>19</v>
      </c>
    </row>
    <row r="143" spans="1:15" ht="15" x14ac:dyDescent="0.25">
      <c r="A143" s="53">
        <v>138</v>
      </c>
      <c r="B143" s="52" t="s">
        <v>152</v>
      </c>
      <c r="C143" s="54">
        <v>14</v>
      </c>
      <c r="D143" s="56">
        <v>25</v>
      </c>
      <c r="E143" s="61">
        <v>0.35110746513535701</v>
      </c>
      <c r="F143" s="56">
        <v>97.343000000000004</v>
      </c>
      <c r="G143" s="59" t="s">
        <v>107</v>
      </c>
      <c r="H143" s="64" t="s">
        <v>301</v>
      </c>
      <c r="I143" s="27">
        <v>0</v>
      </c>
      <c r="K143" s="22">
        <f t="shared" si="6"/>
        <v>0</v>
      </c>
      <c r="N143">
        <f t="shared" si="7"/>
        <v>35.11</v>
      </c>
      <c r="O143" s="28">
        <f t="shared" si="8"/>
        <v>97</v>
      </c>
    </row>
    <row r="144" spans="1:15" ht="15" x14ac:dyDescent="0.25">
      <c r="A144" s="53">
        <v>139</v>
      </c>
      <c r="B144" s="52" t="s">
        <v>153</v>
      </c>
      <c r="C144" s="54">
        <v>1</v>
      </c>
      <c r="D144" s="56">
        <v>0</v>
      </c>
      <c r="E144" s="61">
        <v>0.34427126059611701</v>
      </c>
      <c r="F144" s="56">
        <v>9.3620000000000001</v>
      </c>
      <c r="G144" s="59" t="s">
        <v>107</v>
      </c>
      <c r="H144" s="64" t="s">
        <v>301</v>
      </c>
      <c r="I144" s="27">
        <v>0</v>
      </c>
      <c r="K144" s="22">
        <f t="shared" si="6"/>
        <v>0</v>
      </c>
      <c r="N144">
        <f t="shared" si="7"/>
        <v>34.43</v>
      </c>
      <c r="O144" s="28">
        <f t="shared" si="8"/>
        <v>9</v>
      </c>
    </row>
    <row r="145" spans="1:15" ht="15" x14ac:dyDescent="0.25">
      <c r="A145" s="53">
        <v>140</v>
      </c>
      <c r="B145" s="52" t="s">
        <v>190</v>
      </c>
      <c r="C145" s="54">
        <v>16</v>
      </c>
      <c r="D145" s="56">
        <v>0</v>
      </c>
      <c r="E145" s="61">
        <v>0.34427126059611701</v>
      </c>
      <c r="F145" s="56">
        <v>181.102</v>
      </c>
      <c r="G145" s="59" t="s">
        <v>107</v>
      </c>
      <c r="H145" s="64" t="s">
        <v>282</v>
      </c>
      <c r="I145" s="27">
        <v>0</v>
      </c>
      <c r="K145" s="22">
        <f t="shared" si="6"/>
        <v>0</v>
      </c>
      <c r="N145">
        <f t="shared" si="7"/>
        <v>34.43</v>
      </c>
      <c r="O145" s="28">
        <f t="shared" si="8"/>
        <v>181</v>
      </c>
    </row>
    <row r="146" spans="1:15" ht="15" x14ac:dyDescent="0.25">
      <c r="A146" s="53">
        <v>141</v>
      </c>
      <c r="B146" s="52" t="s">
        <v>154</v>
      </c>
      <c r="C146" s="54">
        <v>16</v>
      </c>
      <c r="D146" s="56">
        <v>0</v>
      </c>
      <c r="E146" s="61">
        <v>0.34427126059611701</v>
      </c>
      <c r="F146" s="56">
        <v>191.541</v>
      </c>
      <c r="G146" s="59" t="s">
        <v>107</v>
      </c>
      <c r="H146" s="64" t="s">
        <v>283</v>
      </c>
      <c r="I146" s="27">
        <v>0</v>
      </c>
      <c r="K146" s="22">
        <f t="shared" si="6"/>
        <v>0</v>
      </c>
      <c r="N146">
        <f t="shared" si="7"/>
        <v>34.43</v>
      </c>
      <c r="O146" s="28">
        <f t="shared" si="8"/>
        <v>192</v>
      </c>
    </row>
    <row r="147" spans="1:15" ht="15" x14ac:dyDescent="0.25">
      <c r="A147" s="53">
        <v>142</v>
      </c>
      <c r="B147" s="52" t="s">
        <v>87</v>
      </c>
      <c r="C147" s="54">
        <v>16</v>
      </c>
      <c r="D147" s="56">
        <v>953.5</v>
      </c>
      <c r="E147" s="61">
        <v>0.34146735617323898</v>
      </c>
      <c r="F147" s="56">
        <v>389.35599999999999</v>
      </c>
      <c r="G147" s="59" t="s">
        <v>65</v>
      </c>
      <c r="H147" s="64" t="s">
        <v>284</v>
      </c>
      <c r="I147" s="27">
        <v>0</v>
      </c>
      <c r="K147" s="22">
        <f t="shared" si="6"/>
        <v>0</v>
      </c>
      <c r="N147">
        <f t="shared" si="7"/>
        <v>34.15</v>
      </c>
      <c r="O147" s="28">
        <f t="shared" si="8"/>
        <v>389</v>
      </c>
    </row>
    <row r="148" spans="1:15" ht="15" x14ac:dyDescent="0.25">
      <c r="A148" s="53">
        <v>143</v>
      </c>
      <c r="B148" s="52" t="s">
        <v>123</v>
      </c>
      <c r="C148" s="54">
        <v>16</v>
      </c>
      <c r="D148" s="56">
        <v>-25</v>
      </c>
      <c r="E148" s="61">
        <v>0.33743505605687701</v>
      </c>
      <c r="F148" s="56">
        <v>163.01300000000001</v>
      </c>
      <c r="G148" s="59" t="s">
        <v>107</v>
      </c>
      <c r="H148" s="64" t="s">
        <v>281</v>
      </c>
      <c r="I148" s="27">
        <v>0</v>
      </c>
      <c r="K148" s="22">
        <f t="shared" si="6"/>
        <v>0</v>
      </c>
      <c r="N148">
        <f t="shared" si="7"/>
        <v>33.74</v>
      </c>
      <c r="O148" s="28">
        <f t="shared" si="8"/>
        <v>163</v>
      </c>
    </row>
    <row r="149" spans="1:15" ht="15" x14ac:dyDescent="0.25">
      <c r="A149" s="53">
        <v>144</v>
      </c>
      <c r="B149" s="52" t="s">
        <v>29</v>
      </c>
      <c r="C149" s="54">
        <v>16</v>
      </c>
      <c r="D149" s="56">
        <v>-41</v>
      </c>
      <c r="E149" s="61">
        <v>0.33305988515176399</v>
      </c>
      <c r="F149" s="56">
        <v>91.013999999999996</v>
      </c>
      <c r="G149" s="59" t="s">
        <v>9</v>
      </c>
      <c r="H149" s="64" t="s">
        <v>286</v>
      </c>
      <c r="I149" s="27">
        <v>0</v>
      </c>
      <c r="K149" s="22">
        <f t="shared" si="6"/>
        <v>0</v>
      </c>
      <c r="N149">
        <f t="shared" si="7"/>
        <v>33.31</v>
      </c>
      <c r="O149" s="28">
        <f t="shared" si="8"/>
        <v>91</v>
      </c>
    </row>
    <row r="150" spans="1:15" ht="15" x14ac:dyDescent="0.25">
      <c r="A150" s="53">
        <v>145</v>
      </c>
      <c r="B150" s="52" t="s">
        <v>178</v>
      </c>
      <c r="C150" s="54">
        <v>16</v>
      </c>
      <c r="D150" s="56">
        <v>911.46666666666704</v>
      </c>
      <c r="E150" s="61">
        <v>0.327881921999569</v>
      </c>
      <c r="F150" s="56">
        <v>142.80799999999999</v>
      </c>
      <c r="G150" s="59" t="s">
        <v>65</v>
      </c>
      <c r="H150" s="64" t="s">
        <v>287</v>
      </c>
      <c r="I150" s="27">
        <v>0</v>
      </c>
      <c r="J150">
        <v>25</v>
      </c>
      <c r="K150" s="22">
        <f t="shared" si="6"/>
        <v>25</v>
      </c>
      <c r="N150">
        <f t="shared" si="7"/>
        <v>32.79</v>
      </c>
      <c r="O150" s="28">
        <f t="shared" si="8"/>
        <v>143</v>
      </c>
    </row>
    <row r="151" spans="1:15" ht="15" x14ac:dyDescent="0.25">
      <c r="A151" s="53">
        <v>146</v>
      </c>
      <c r="B151" s="52" t="s">
        <v>57</v>
      </c>
      <c r="C151" s="54">
        <v>16</v>
      </c>
      <c r="D151" s="56">
        <v>-71</v>
      </c>
      <c r="E151" s="61">
        <v>0.32485643970467598</v>
      </c>
      <c r="F151" s="56">
        <v>125.34399999999999</v>
      </c>
      <c r="G151" s="59" t="s">
        <v>9</v>
      </c>
      <c r="H151" s="64" t="s">
        <v>288</v>
      </c>
      <c r="I151" s="27">
        <v>0</v>
      </c>
      <c r="K151" s="22">
        <f t="shared" si="6"/>
        <v>0</v>
      </c>
      <c r="N151">
        <f t="shared" si="7"/>
        <v>32.49</v>
      </c>
      <c r="O151" s="28">
        <f t="shared" si="8"/>
        <v>125</v>
      </c>
    </row>
    <row r="152" spans="1:15" ht="15" x14ac:dyDescent="0.25">
      <c r="A152" s="53">
        <v>147</v>
      </c>
      <c r="B152" s="52" t="s">
        <v>59</v>
      </c>
      <c r="C152" s="54">
        <v>16</v>
      </c>
      <c r="D152" s="56">
        <v>-86</v>
      </c>
      <c r="E152" s="61">
        <v>0.320754716981132</v>
      </c>
      <c r="F152" s="56">
        <v>140.529</v>
      </c>
      <c r="G152" s="59" t="s">
        <v>9</v>
      </c>
      <c r="H152" s="64" t="s">
        <v>289</v>
      </c>
      <c r="I152" s="27">
        <v>0</v>
      </c>
      <c r="K152" s="22">
        <f t="shared" si="6"/>
        <v>0</v>
      </c>
      <c r="N152">
        <f t="shared" si="7"/>
        <v>32.08</v>
      </c>
      <c r="O152" s="28">
        <f t="shared" si="8"/>
        <v>141</v>
      </c>
    </row>
    <row r="153" spans="1:15" ht="15" x14ac:dyDescent="0.25">
      <c r="A153" s="53">
        <v>148</v>
      </c>
      <c r="B153" s="52" t="s">
        <v>156</v>
      </c>
      <c r="C153" s="54">
        <v>16</v>
      </c>
      <c r="D153" s="56">
        <v>-95.5</v>
      </c>
      <c r="E153" s="61">
        <v>0.31815695925622101</v>
      </c>
      <c r="F153" s="56">
        <v>584.00800000000004</v>
      </c>
      <c r="G153" s="59" t="s">
        <v>107</v>
      </c>
      <c r="H153" s="64" t="s">
        <v>290</v>
      </c>
      <c r="I153" s="27">
        <v>0</v>
      </c>
      <c r="K153" s="22">
        <f t="shared" si="6"/>
        <v>0</v>
      </c>
      <c r="N153">
        <f t="shared" si="7"/>
        <v>31.82</v>
      </c>
      <c r="O153" s="28">
        <f t="shared" si="8"/>
        <v>584</v>
      </c>
    </row>
    <row r="154" spans="1:15" ht="15" x14ac:dyDescent="0.25">
      <c r="A154" s="53">
        <v>149</v>
      </c>
      <c r="B154" s="52" t="s">
        <v>125</v>
      </c>
      <c r="C154" s="54">
        <v>16</v>
      </c>
      <c r="D154" s="56">
        <v>-139</v>
      </c>
      <c r="E154" s="61">
        <v>0.30626196335794398</v>
      </c>
      <c r="F154" s="56">
        <v>132.04499999999999</v>
      </c>
      <c r="G154" s="59" t="s">
        <v>107</v>
      </c>
      <c r="H154" s="64" t="s">
        <v>291</v>
      </c>
      <c r="I154" s="27">
        <v>0</v>
      </c>
      <c r="K154" s="22">
        <f t="shared" si="6"/>
        <v>0</v>
      </c>
      <c r="N154">
        <f t="shared" si="7"/>
        <v>30.63</v>
      </c>
      <c r="O154" s="28">
        <f t="shared" si="8"/>
        <v>132</v>
      </c>
    </row>
    <row r="155" spans="1:15" ht="15" x14ac:dyDescent="0.25">
      <c r="A155" s="53">
        <v>150</v>
      </c>
      <c r="B155" s="52" t="s">
        <v>21</v>
      </c>
      <c r="C155" s="54">
        <v>16</v>
      </c>
      <c r="D155" s="56">
        <v>-195</v>
      </c>
      <c r="E155" s="61">
        <v>0.29094886519004598</v>
      </c>
      <c r="F155" s="56">
        <v>173.84</v>
      </c>
      <c r="G155" s="59" t="s">
        <v>9</v>
      </c>
      <c r="H155" s="64" t="s">
        <v>292</v>
      </c>
      <c r="I155" s="27">
        <v>0</v>
      </c>
      <c r="K155" s="22">
        <f t="shared" si="6"/>
        <v>0</v>
      </c>
      <c r="N155">
        <f t="shared" si="7"/>
        <v>29.09</v>
      </c>
      <c r="O155" s="28">
        <f t="shared" si="8"/>
        <v>174</v>
      </c>
    </row>
    <row r="156" spans="1:15" ht="15" x14ac:dyDescent="0.25">
      <c r="A156" s="53">
        <v>151</v>
      </c>
      <c r="B156" s="52" t="s">
        <v>185</v>
      </c>
      <c r="C156" s="54">
        <v>10</v>
      </c>
      <c r="D156" s="56">
        <v>-199</v>
      </c>
      <c r="E156" s="61">
        <v>0.28985507246376802</v>
      </c>
      <c r="F156" s="56">
        <v>198.46100000000001</v>
      </c>
      <c r="G156" s="59" t="s">
        <v>107</v>
      </c>
      <c r="H156" s="64" t="s">
        <v>301</v>
      </c>
      <c r="I156" s="27">
        <v>0</v>
      </c>
      <c r="K156" s="22">
        <f t="shared" si="6"/>
        <v>0</v>
      </c>
      <c r="N156">
        <f t="shared" si="7"/>
        <v>28.99</v>
      </c>
      <c r="O156" s="28">
        <f t="shared" si="8"/>
        <v>198</v>
      </c>
    </row>
    <row r="157" spans="1:15" ht="15" x14ac:dyDescent="0.25">
      <c r="A157" s="53">
        <v>152</v>
      </c>
      <c r="B157" s="52" t="s">
        <v>155</v>
      </c>
      <c r="C157" s="54">
        <v>16</v>
      </c>
      <c r="D157" s="56">
        <v>-282.5</v>
      </c>
      <c r="E157" s="61">
        <v>0.26702214930270701</v>
      </c>
      <c r="F157" s="56">
        <v>127.441</v>
      </c>
      <c r="G157" s="59" t="s">
        <v>107</v>
      </c>
      <c r="H157" s="64" t="s">
        <v>294</v>
      </c>
      <c r="I157" s="27">
        <v>0</v>
      </c>
      <c r="K157" s="22">
        <f t="shared" si="6"/>
        <v>0</v>
      </c>
      <c r="N157">
        <f t="shared" si="7"/>
        <v>26.7</v>
      </c>
      <c r="O157" s="28">
        <f t="shared" si="8"/>
        <v>127</v>
      </c>
    </row>
    <row r="158" spans="1:15" ht="15" x14ac:dyDescent="0.25">
      <c r="A158" s="53">
        <v>153</v>
      </c>
      <c r="B158" s="52" t="s">
        <v>118</v>
      </c>
      <c r="C158" s="54">
        <v>16</v>
      </c>
      <c r="D158" s="56">
        <v>-298.5</v>
      </c>
      <c r="E158" s="61">
        <v>0.26264697839759399</v>
      </c>
      <c r="F158" s="56">
        <v>204.65299999999999</v>
      </c>
      <c r="G158" s="59" t="s">
        <v>107</v>
      </c>
      <c r="H158" s="64" t="s">
        <v>276</v>
      </c>
      <c r="I158" s="27">
        <v>0</v>
      </c>
      <c r="K158" s="22">
        <f t="shared" si="6"/>
        <v>0</v>
      </c>
      <c r="N158">
        <f t="shared" si="7"/>
        <v>26.26</v>
      </c>
      <c r="O158" s="28">
        <f t="shared" si="8"/>
        <v>205</v>
      </c>
    </row>
    <row r="159" spans="1:15" ht="15" x14ac:dyDescent="0.25">
      <c r="A159" s="53">
        <v>154</v>
      </c>
      <c r="B159" s="52" t="s">
        <v>58</v>
      </c>
      <c r="C159" s="54">
        <v>16</v>
      </c>
      <c r="D159" s="56">
        <v>-311</v>
      </c>
      <c r="E159" s="61">
        <v>0.25922887612797402</v>
      </c>
      <c r="F159" s="56">
        <v>130.965</v>
      </c>
      <c r="G159" s="59" t="s">
        <v>9</v>
      </c>
      <c r="H159" s="64" t="s">
        <v>295</v>
      </c>
      <c r="I159" s="27">
        <v>0</v>
      </c>
      <c r="K159" s="22">
        <f t="shared" si="6"/>
        <v>0</v>
      </c>
      <c r="N159">
        <f t="shared" si="7"/>
        <v>25.92</v>
      </c>
      <c r="O159" s="28">
        <f t="shared" si="8"/>
        <v>131</v>
      </c>
    </row>
    <row r="160" spans="1:15" ht="15" x14ac:dyDescent="0.25">
      <c r="A160" s="53">
        <v>155</v>
      </c>
      <c r="B160" s="52" t="s">
        <v>70</v>
      </c>
      <c r="C160" s="54">
        <v>16</v>
      </c>
      <c r="D160" s="56">
        <v>696.25</v>
      </c>
      <c r="E160" s="61">
        <v>0.258322559793148</v>
      </c>
      <c r="F160" s="56">
        <v>186.14699999999999</v>
      </c>
      <c r="G160" s="59" t="s">
        <v>65</v>
      </c>
      <c r="H160" s="64" t="s">
        <v>296</v>
      </c>
      <c r="I160" s="27">
        <v>0</v>
      </c>
      <c r="K160" s="22">
        <f t="shared" si="6"/>
        <v>0</v>
      </c>
      <c r="N160">
        <f t="shared" si="7"/>
        <v>25.83</v>
      </c>
      <c r="O160" s="28">
        <f t="shared" si="8"/>
        <v>186</v>
      </c>
    </row>
    <row r="161" spans="1:15" ht="15" x14ac:dyDescent="0.25">
      <c r="A161" s="53">
        <v>156</v>
      </c>
      <c r="B161" s="52" t="s">
        <v>181</v>
      </c>
      <c r="C161" s="54">
        <v>16</v>
      </c>
      <c r="D161" s="56">
        <v>-397</v>
      </c>
      <c r="E161" s="61">
        <v>0.23571233251298901</v>
      </c>
      <c r="F161" s="56">
        <v>67.683999999999997</v>
      </c>
      <c r="G161" s="59" t="s">
        <v>107</v>
      </c>
      <c r="H161" s="64" t="s">
        <v>293</v>
      </c>
      <c r="I161" s="27">
        <v>0</v>
      </c>
      <c r="K161" s="22">
        <f t="shared" si="6"/>
        <v>0</v>
      </c>
      <c r="N161">
        <f t="shared" si="7"/>
        <v>23.57</v>
      </c>
      <c r="O161" s="28">
        <f t="shared" si="8"/>
        <v>68</v>
      </c>
    </row>
    <row r="162" spans="1:15" ht="15" x14ac:dyDescent="0.25">
      <c r="A162" s="53">
        <v>157</v>
      </c>
      <c r="B162" s="52" t="s">
        <v>23</v>
      </c>
      <c r="C162" s="54">
        <v>16</v>
      </c>
      <c r="D162" s="56">
        <v>-427</v>
      </c>
      <c r="E162" s="61">
        <v>0.227508887065901</v>
      </c>
      <c r="F162" s="56">
        <v>180.12</v>
      </c>
      <c r="G162" s="59" t="s">
        <v>9</v>
      </c>
      <c r="H162" s="64" t="s">
        <v>297</v>
      </c>
      <c r="I162" s="27">
        <v>0</v>
      </c>
      <c r="K162" s="22">
        <f t="shared" si="6"/>
        <v>0</v>
      </c>
      <c r="N162">
        <f t="shared" si="7"/>
        <v>22.75</v>
      </c>
      <c r="O162" s="28">
        <f t="shared" si="8"/>
        <v>180</v>
      </c>
    </row>
    <row r="163" spans="1:15" ht="15" x14ac:dyDescent="0.25">
      <c r="A163" s="53">
        <v>158</v>
      </c>
      <c r="B163" s="52" t="s">
        <v>61</v>
      </c>
      <c r="C163" s="54">
        <v>16</v>
      </c>
      <c r="D163" s="56">
        <v>-512</v>
      </c>
      <c r="E163" s="61">
        <v>0.20426579163248601</v>
      </c>
      <c r="F163" s="56">
        <v>170.066</v>
      </c>
      <c r="G163" s="59" t="s">
        <v>9</v>
      </c>
      <c r="H163" s="64" t="s">
        <v>298</v>
      </c>
      <c r="I163" s="27">
        <v>0</v>
      </c>
      <c r="K163" s="22">
        <f t="shared" si="6"/>
        <v>0</v>
      </c>
      <c r="N163">
        <f t="shared" si="7"/>
        <v>20.43</v>
      </c>
      <c r="O163" s="28">
        <f t="shared" si="8"/>
        <v>170</v>
      </c>
    </row>
    <row r="164" spans="1:15" ht="15" x14ac:dyDescent="0.25">
      <c r="A164" s="53">
        <v>159</v>
      </c>
      <c r="B164" s="52" t="s">
        <v>62</v>
      </c>
      <c r="C164" s="54">
        <v>16</v>
      </c>
      <c r="D164" s="56">
        <v>-514</v>
      </c>
      <c r="E164" s="61">
        <v>0.203718895269346</v>
      </c>
      <c r="F164" s="56">
        <v>169.958</v>
      </c>
      <c r="G164" s="59" t="s">
        <v>9</v>
      </c>
      <c r="H164" s="64" t="s">
        <v>299</v>
      </c>
      <c r="I164" s="27">
        <v>0</v>
      </c>
      <c r="K164" s="22">
        <f t="shared" si="6"/>
        <v>0</v>
      </c>
      <c r="N164">
        <f t="shared" si="7"/>
        <v>20.37</v>
      </c>
      <c r="O164" s="28">
        <f t="shared" si="8"/>
        <v>170</v>
      </c>
    </row>
    <row r="165" spans="1:15" ht="15" x14ac:dyDescent="0.25">
      <c r="A165" s="53">
        <v>160</v>
      </c>
      <c r="B165" s="52" t="s">
        <v>63</v>
      </c>
      <c r="C165" s="54">
        <v>16</v>
      </c>
      <c r="D165" s="56">
        <v>-722</v>
      </c>
      <c r="E165" s="61">
        <v>0.146841673502871</v>
      </c>
      <c r="F165" s="56">
        <v>246.44300000000001</v>
      </c>
      <c r="G165" s="59" t="s">
        <v>9</v>
      </c>
      <c r="H165" s="64" t="s">
        <v>300</v>
      </c>
      <c r="I165" s="27">
        <v>0</v>
      </c>
      <c r="K165" s="22">
        <f t="shared" si="6"/>
        <v>0</v>
      </c>
      <c r="N165">
        <f t="shared" si="7"/>
        <v>14.68</v>
      </c>
      <c r="O165" s="28">
        <f t="shared" si="8"/>
        <v>246</v>
      </c>
    </row>
    <row r="166" spans="1:15" ht="15" x14ac:dyDescent="0.25">
      <c r="A166" s="53">
        <v>161</v>
      </c>
      <c r="B166" s="52" t="s">
        <v>84</v>
      </c>
      <c r="C166" s="54">
        <v>5</v>
      </c>
      <c r="D166" s="56">
        <v>235</v>
      </c>
      <c r="E166" s="61">
        <v>0.109243697478992</v>
      </c>
      <c r="F166" s="56">
        <v>77.197000000000003</v>
      </c>
      <c r="G166" s="59" t="s">
        <v>65</v>
      </c>
      <c r="H166" s="64" t="s">
        <v>301</v>
      </c>
      <c r="I166" s="27">
        <v>0</v>
      </c>
      <c r="K166" s="22">
        <f t="shared" si="6"/>
        <v>0</v>
      </c>
      <c r="N166">
        <f t="shared" si="7"/>
        <v>10.92</v>
      </c>
      <c r="O166" s="28">
        <f t="shared" si="8"/>
        <v>77</v>
      </c>
    </row>
    <row r="167" spans="1:15" ht="15" x14ac:dyDescent="0.25">
      <c r="A167" s="53">
        <v>162</v>
      </c>
      <c r="B167" s="52" t="s">
        <v>82</v>
      </c>
      <c r="C167" s="54">
        <v>4</v>
      </c>
      <c r="D167" s="56">
        <v>223.75</v>
      </c>
      <c r="E167" s="61">
        <v>0.105607627666451</v>
      </c>
      <c r="F167" s="56">
        <v>20.513000000000002</v>
      </c>
      <c r="G167" s="59" t="s">
        <v>65</v>
      </c>
      <c r="H167" s="64" t="s">
        <v>301</v>
      </c>
      <c r="I167" s="27">
        <v>0</v>
      </c>
      <c r="K167" s="22">
        <f t="shared" si="6"/>
        <v>0</v>
      </c>
      <c r="N167">
        <f t="shared" si="7"/>
        <v>10.56</v>
      </c>
      <c r="O167" s="28">
        <f t="shared" si="8"/>
        <v>21</v>
      </c>
    </row>
    <row r="168" spans="1:15" ht="15" x14ac:dyDescent="0.25">
      <c r="A168" s="53">
        <v>163</v>
      </c>
      <c r="B168" s="52" t="s">
        <v>80</v>
      </c>
      <c r="C168" s="54">
        <v>4</v>
      </c>
      <c r="D168" s="56">
        <v>211</v>
      </c>
      <c r="E168" s="61">
        <v>0.10148674854557201</v>
      </c>
      <c r="F168" s="56">
        <v>43.813000000000002</v>
      </c>
      <c r="G168" s="59" t="s">
        <v>65</v>
      </c>
      <c r="H168" s="64" t="s">
        <v>301</v>
      </c>
      <c r="I168" s="27">
        <v>0</v>
      </c>
      <c r="K168" s="22">
        <f t="shared" si="6"/>
        <v>0</v>
      </c>
      <c r="N168">
        <f t="shared" si="7"/>
        <v>10.15</v>
      </c>
      <c r="O168" s="28">
        <f t="shared" si="8"/>
        <v>44</v>
      </c>
    </row>
    <row r="169" spans="1:15" ht="15" x14ac:dyDescent="0.25">
      <c r="A169" s="53">
        <v>164</v>
      </c>
      <c r="B169" s="52" t="s">
        <v>103</v>
      </c>
      <c r="C169" s="54">
        <v>4</v>
      </c>
      <c r="D169" s="56">
        <v>185</v>
      </c>
      <c r="E169" s="61">
        <v>9.3083387201034304E-2</v>
      </c>
      <c r="F169" s="56">
        <v>35.942</v>
      </c>
      <c r="G169" s="59" t="s">
        <v>65</v>
      </c>
      <c r="H169" s="64" t="s">
        <v>301</v>
      </c>
      <c r="I169" s="27">
        <v>0</v>
      </c>
      <c r="K169" s="22">
        <f t="shared" si="6"/>
        <v>0</v>
      </c>
      <c r="N169">
        <f t="shared" si="7"/>
        <v>9.31</v>
      </c>
      <c r="O169" s="28">
        <f t="shared" si="8"/>
        <v>36</v>
      </c>
    </row>
    <row r="170" spans="1:15" ht="15" x14ac:dyDescent="0.25">
      <c r="A170" s="53">
        <v>165</v>
      </c>
      <c r="B170" s="52" t="s">
        <v>69</v>
      </c>
      <c r="C170" s="54">
        <v>5</v>
      </c>
      <c r="D170" s="56">
        <v>179.416666666667</v>
      </c>
      <c r="E170" s="61">
        <v>9.1278819219995699E-2</v>
      </c>
      <c r="F170" s="56">
        <v>30.134</v>
      </c>
      <c r="G170" s="59" t="s">
        <v>65</v>
      </c>
      <c r="H170" s="64" t="s">
        <v>301</v>
      </c>
      <c r="I170" s="27">
        <v>0</v>
      </c>
      <c r="K170" s="22">
        <f t="shared" si="6"/>
        <v>0</v>
      </c>
      <c r="N170">
        <f t="shared" si="7"/>
        <v>9.1300000000000008</v>
      </c>
      <c r="O170" s="28">
        <f t="shared" si="8"/>
        <v>30</v>
      </c>
    </row>
    <row r="171" spans="1:15" ht="15" x14ac:dyDescent="0.25">
      <c r="A171" s="53">
        <v>166</v>
      </c>
      <c r="B171" s="52" t="s">
        <v>64</v>
      </c>
      <c r="C171" s="54">
        <v>4</v>
      </c>
      <c r="D171" s="56">
        <v>155.5</v>
      </c>
      <c r="E171" s="61">
        <v>8.3548804137039398E-2</v>
      </c>
      <c r="F171" s="56">
        <v>13.404</v>
      </c>
      <c r="G171" s="59" t="s">
        <v>65</v>
      </c>
      <c r="H171" s="64" t="s">
        <v>301</v>
      </c>
      <c r="I171" s="27">
        <v>0</v>
      </c>
      <c r="K171" s="22">
        <f t="shared" si="6"/>
        <v>0</v>
      </c>
      <c r="N171">
        <f t="shared" si="7"/>
        <v>8.35</v>
      </c>
      <c r="O171" s="28">
        <f t="shared" si="8"/>
        <v>13</v>
      </c>
    </row>
    <row r="172" spans="1:15" ht="15" x14ac:dyDescent="0.25">
      <c r="A172" s="53">
        <v>167</v>
      </c>
      <c r="B172" s="52" t="s">
        <v>102</v>
      </c>
      <c r="C172" s="54">
        <v>1</v>
      </c>
      <c r="D172" s="56">
        <v>84</v>
      </c>
      <c r="E172" s="61">
        <v>6.0439560439560398E-2</v>
      </c>
      <c r="F172" s="56">
        <v>28.669</v>
      </c>
      <c r="G172" s="59" t="s">
        <v>65</v>
      </c>
      <c r="H172" s="64" t="s">
        <v>301</v>
      </c>
      <c r="I172" s="27">
        <v>0</v>
      </c>
      <c r="K172" s="22">
        <f t="shared" si="6"/>
        <v>0</v>
      </c>
      <c r="N172">
        <f t="shared" si="7"/>
        <v>6.04</v>
      </c>
      <c r="O172" s="28">
        <f t="shared" si="8"/>
        <v>29</v>
      </c>
    </row>
    <row r="173" spans="1:15" ht="15" x14ac:dyDescent="0.25">
      <c r="A173" s="53">
        <v>168</v>
      </c>
      <c r="B173" s="52" t="s">
        <v>177</v>
      </c>
      <c r="C173" s="54">
        <v>1</v>
      </c>
      <c r="D173" s="56">
        <v>69.5</v>
      </c>
      <c r="E173" s="61">
        <v>5.5753070458952801E-2</v>
      </c>
      <c r="F173" s="56">
        <v>2.2400000000000002</v>
      </c>
      <c r="G173" s="59" t="s">
        <v>65</v>
      </c>
      <c r="H173" s="64" t="s">
        <v>301</v>
      </c>
      <c r="I173" s="27">
        <v>0</v>
      </c>
      <c r="K173" s="22">
        <f t="shared" si="6"/>
        <v>0</v>
      </c>
      <c r="N173">
        <f t="shared" si="7"/>
        <v>5.58</v>
      </c>
      <c r="O173" s="28">
        <f t="shared" si="8"/>
        <v>2</v>
      </c>
    </row>
    <row r="174" spans="1:15" ht="15" x14ac:dyDescent="0.25">
      <c r="A174" s="53">
        <v>169</v>
      </c>
      <c r="B174" s="52" t="s">
        <v>90</v>
      </c>
      <c r="C174" s="54">
        <v>1</v>
      </c>
      <c r="D174" s="56">
        <v>69.5</v>
      </c>
      <c r="E174" s="61">
        <v>5.5753070458952801E-2</v>
      </c>
      <c r="F174" s="56">
        <v>16.535</v>
      </c>
      <c r="G174" s="59" t="s">
        <v>65</v>
      </c>
      <c r="H174" s="64" t="s">
        <v>301</v>
      </c>
      <c r="I174" s="27">
        <v>0</v>
      </c>
      <c r="K174" s="22">
        <f t="shared" si="6"/>
        <v>0</v>
      </c>
      <c r="N174">
        <f t="shared" si="7"/>
        <v>5.58</v>
      </c>
      <c r="O174" s="28">
        <f t="shared" si="8"/>
        <v>17</v>
      </c>
    </row>
    <row r="175" spans="1:15" ht="15" x14ac:dyDescent="0.25">
      <c r="A175" s="53">
        <v>170</v>
      </c>
      <c r="B175" s="52" t="s">
        <v>94</v>
      </c>
      <c r="C175" s="54">
        <v>1</v>
      </c>
      <c r="D175" s="56">
        <v>65.5</v>
      </c>
      <c r="E175" s="61">
        <v>5.4460245636716198E-2</v>
      </c>
      <c r="F175" s="56">
        <v>9.6300000000000008</v>
      </c>
      <c r="G175" s="59" t="s">
        <v>65</v>
      </c>
      <c r="H175" s="64" t="s">
        <v>301</v>
      </c>
      <c r="I175" s="27">
        <v>0</v>
      </c>
      <c r="K175" s="22">
        <f t="shared" si="6"/>
        <v>0</v>
      </c>
      <c r="N175">
        <f t="shared" si="7"/>
        <v>5.45</v>
      </c>
      <c r="O175" s="28">
        <f t="shared" si="8"/>
        <v>10</v>
      </c>
    </row>
    <row r="176" spans="1:15" ht="15" x14ac:dyDescent="0.25">
      <c r="A176" s="53">
        <v>171</v>
      </c>
      <c r="B176" s="52" t="s">
        <v>77</v>
      </c>
      <c r="C176" s="54">
        <v>1</v>
      </c>
      <c r="D176" s="56">
        <v>46</v>
      </c>
      <c r="E176" s="61">
        <v>4.8157724628312901E-2</v>
      </c>
      <c r="F176" s="56">
        <v>8.2479999999999993</v>
      </c>
      <c r="G176" s="59" t="s">
        <v>65</v>
      </c>
      <c r="H176" s="64" t="s">
        <v>301</v>
      </c>
      <c r="I176" s="27">
        <v>0</v>
      </c>
      <c r="K176" s="22">
        <f t="shared" si="6"/>
        <v>0</v>
      </c>
      <c r="N176">
        <f t="shared" si="7"/>
        <v>4.82</v>
      </c>
      <c r="O176" s="28">
        <f t="shared" si="8"/>
        <v>8</v>
      </c>
    </row>
    <row r="177" spans="1:15" ht="15" x14ac:dyDescent="0.25">
      <c r="A177" s="53">
        <v>172</v>
      </c>
      <c r="B177" s="52" t="s">
        <v>89</v>
      </c>
      <c r="C177" s="54">
        <v>1</v>
      </c>
      <c r="D177" s="56">
        <v>46</v>
      </c>
      <c r="E177" s="61">
        <v>4.8157724628312901E-2</v>
      </c>
      <c r="F177" s="56">
        <v>10.59</v>
      </c>
      <c r="G177" s="59" t="s">
        <v>65</v>
      </c>
      <c r="H177" s="64" t="s">
        <v>301</v>
      </c>
      <c r="I177" s="27">
        <v>0</v>
      </c>
      <c r="K177" s="22">
        <f t="shared" si="6"/>
        <v>0</v>
      </c>
      <c r="N177">
        <f t="shared" si="7"/>
        <v>4.82</v>
      </c>
      <c r="O177" s="28">
        <f t="shared" si="8"/>
        <v>11</v>
      </c>
    </row>
    <row r="178" spans="1:15" ht="15" x14ac:dyDescent="0.25">
      <c r="A178" s="53"/>
      <c r="B178" s="52"/>
      <c r="C178" s="54"/>
      <c r="D178" s="56"/>
      <c r="E178" s="61"/>
      <c r="F178" s="56"/>
      <c r="G178" s="59"/>
      <c r="H178" s="63" t="s">
        <v>301</v>
      </c>
      <c r="I178" s="27">
        <v>0</v>
      </c>
      <c r="N178">
        <f t="shared" si="7"/>
        <v>0</v>
      </c>
      <c r="O178" s="28">
        <f t="shared" si="8"/>
        <v>0</v>
      </c>
    </row>
    <row r="179" spans="1:15" ht="15" x14ac:dyDescent="0.25">
      <c r="A179" s="9"/>
      <c r="B179" s="10"/>
      <c r="C179" s="11"/>
      <c r="D179" s="12"/>
      <c r="E179" s="13"/>
      <c r="F179" s="12"/>
      <c r="G179" s="14"/>
      <c r="I179" s="27">
        <v>0</v>
      </c>
      <c r="N179">
        <f t="shared" si="7"/>
        <v>0</v>
      </c>
      <c r="O179" s="28">
        <f t="shared" si="8"/>
        <v>0</v>
      </c>
    </row>
    <row r="180" spans="1:15" ht="15" x14ac:dyDescent="0.25">
      <c r="A180" s="9"/>
      <c r="B180" s="10"/>
      <c r="C180" s="11"/>
      <c r="D180" s="12"/>
      <c r="E180" s="13"/>
      <c r="F180" s="12"/>
      <c r="G180" s="14"/>
      <c r="I180" s="27">
        <v>0</v>
      </c>
      <c r="N180">
        <f t="shared" si="7"/>
        <v>0</v>
      </c>
      <c r="O180" s="28">
        <f t="shared" si="8"/>
        <v>0</v>
      </c>
    </row>
    <row r="181" spans="1:15" ht="15" x14ac:dyDescent="0.25">
      <c r="A181" s="9"/>
      <c r="B181" s="10"/>
      <c r="C181" s="11"/>
      <c r="D181" s="12"/>
      <c r="E181" s="13"/>
      <c r="F181" s="12"/>
      <c r="G181" s="14"/>
      <c r="I181" s="27">
        <v>0</v>
      </c>
      <c r="N181">
        <f t="shared" si="7"/>
        <v>0</v>
      </c>
      <c r="O181" s="28">
        <f t="shared" si="8"/>
        <v>0</v>
      </c>
    </row>
    <row r="182" spans="1:15" ht="15" x14ac:dyDescent="0.25">
      <c r="A182" s="9"/>
      <c r="B182" s="10"/>
      <c r="C182" s="11"/>
      <c r="D182" s="12"/>
      <c r="E182" s="13"/>
      <c r="F182" s="12"/>
      <c r="G182" s="14"/>
      <c r="I182" s="27">
        <v>0</v>
      </c>
      <c r="N182">
        <f t="shared" si="7"/>
        <v>0</v>
      </c>
      <c r="O182" s="28">
        <f t="shared" si="8"/>
        <v>0</v>
      </c>
    </row>
    <row r="183" spans="1:15" ht="15" x14ac:dyDescent="0.25">
      <c r="A183" s="9"/>
      <c r="B183" s="10"/>
      <c r="C183" s="11"/>
      <c r="D183" s="12"/>
      <c r="E183" s="13"/>
      <c r="F183" s="12"/>
      <c r="G183" s="14"/>
      <c r="I183" s="27">
        <v>0</v>
      </c>
      <c r="N183">
        <f t="shared" si="7"/>
        <v>0</v>
      </c>
      <c r="O183" s="28">
        <f t="shared" si="8"/>
        <v>0</v>
      </c>
    </row>
    <row r="184" spans="1:15" ht="15" x14ac:dyDescent="0.25">
      <c r="A184" s="9"/>
      <c r="B184" s="10"/>
      <c r="C184" s="11"/>
      <c r="D184" s="12"/>
      <c r="E184" s="13"/>
      <c r="F184" s="12"/>
      <c r="G184" s="14"/>
      <c r="I184" s="27">
        <v>0</v>
      </c>
      <c r="N184">
        <f t="shared" si="7"/>
        <v>0</v>
      </c>
      <c r="O184" s="28">
        <f t="shared" si="8"/>
        <v>0</v>
      </c>
    </row>
    <row r="185" spans="1:15" ht="15" x14ac:dyDescent="0.25">
      <c r="A185" s="9"/>
      <c r="B185" s="10"/>
      <c r="C185" s="11"/>
      <c r="D185" s="12"/>
      <c r="E185" s="13"/>
      <c r="F185" s="12"/>
      <c r="G185" s="14"/>
      <c r="I185" s="27">
        <v>0</v>
      </c>
      <c r="N185">
        <f t="shared" si="7"/>
        <v>0</v>
      </c>
      <c r="O185" s="28">
        <f t="shared" si="8"/>
        <v>0</v>
      </c>
    </row>
    <row r="186" spans="1:15" ht="15" x14ac:dyDescent="0.25">
      <c r="A186" s="9"/>
      <c r="B186" s="10"/>
      <c r="C186" s="11"/>
      <c r="D186" s="12"/>
      <c r="E186" s="13"/>
      <c r="F186" s="12"/>
      <c r="G186" s="14"/>
      <c r="I186" s="27">
        <v>0</v>
      </c>
      <c r="N186">
        <f t="shared" si="7"/>
        <v>0</v>
      </c>
      <c r="O186" s="28">
        <f t="shared" si="8"/>
        <v>0</v>
      </c>
    </row>
    <row r="187" spans="1:15" ht="15" x14ac:dyDescent="0.25">
      <c r="A187" s="9"/>
      <c r="B187" s="10"/>
      <c r="C187" s="11"/>
      <c r="D187" s="12"/>
      <c r="E187" s="13"/>
      <c r="F187" s="12"/>
      <c r="G187" s="14"/>
      <c r="I187" s="27">
        <v>0</v>
      </c>
      <c r="N187">
        <f t="shared" si="7"/>
        <v>0</v>
      </c>
      <c r="O187" s="28">
        <f t="shared" si="8"/>
        <v>0</v>
      </c>
    </row>
    <row r="188" spans="1:15" ht="15" x14ac:dyDescent="0.25">
      <c r="A188" s="9"/>
      <c r="B188" s="10"/>
      <c r="C188" s="11"/>
      <c r="D188" s="12"/>
      <c r="E188" s="13"/>
      <c r="F188" s="12"/>
      <c r="G188" s="14"/>
      <c r="I188" s="27">
        <v>0</v>
      </c>
      <c r="N188">
        <f t="shared" si="7"/>
        <v>0</v>
      </c>
      <c r="O188" s="28">
        <f t="shared" si="8"/>
        <v>0</v>
      </c>
    </row>
    <row r="189" spans="1:15" ht="15" x14ac:dyDescent="0.25">
      <c r="A189" s="9"/>
      <c r="B189" s="10"/>
      <c r="C189" s="11"/>
      <c r="D189" s="12"/>
      <c r="E189" s="13"/>
      <c r="F189" s="12"/>
      <c r="G189" s="14"/>
      <c r="I189" s="27">
        <v>0</v>
      </c>
      <c r="N189">
        <f t="shared" si="7"/>
        <v>0</v>
      </c>
      <c r="O189" s="28">
        <f t="shared" si="8"/>
        <v>0</v>
      </c>
    </row>
    <row r="190" spans="1:15" ht="15" x14ac:dyDescent="0.25">
      <c r="A190" s="9"/>
      <c r="B190" s="10"/>
      <c r="C190" s="11"/>
      <c r="D190" s="12"/>
      <c r="E190" s="13"/>
      <c r="F190" s="12"/>
      <c r="G190" s="14"/>
      <c r="I190" s="27">
        <v>0</v>
      </c>
      <c r="N190">
        <f t="shared" si="7"/>
        <v>0</v>
      </c>
      <c r="O190" s="28">
        <f t="shared" si="8"/>
        <v>0</v>
      </c>
    </row>
    <row r="191" spans="1:15" ht="15" x14ac:dyDescent="0.25">
      <c r="A191" s="9"/>
      <c r="B191" s="10"/>
      <c r="C191" s="11"/>
      <c r="D191" s="12"/>
      <c r="E191" s="13"/>
      <c r="F191" s="12"/>
      <c r="G191" s="14"/>
      <c r="I191" s="27">
        <v>0</v>
      </c>
      <c r="N191">
        <f t="shared" si="7"/>
        <v>0</v>
      </c>
      <c r="O191" s="28">
        <f t="shared" si="8"/>
        <v>0</v>
      </c>
    </row>
    <row r="192" spans="1:15" ht="15" x14ac:dyDescent="0.25">
      <c r="A192" s="9"/>
      <c r="B192" s="10"/>
      <c r="C192" s="11"/>
      <c r="D192" s="12"/>
      <c r="E192" s="13"/>
      <c r="F192" s="12"/>
      <c r="G192" s="14"/>
      <c r="I192" s="27">
        <v>0</v>
      </c>
      <c r="N192">
        <f t="shared" si="7"/>
        <v>0</v>
      </c>
      <c r="O192" s="28">
        <f t="shared" si="8"/>
        <v>0</v>
      </c>
    </row>
    <row r="193" spans="1:15" ht="15" x14ac:dyDescent="0.25">
      <c r="A193" s="9"/>
      <c r="B193" s="10"/>
      <c r="C193" s="11"/>
      <c r="D193" s="12"/>
      <c r="E193" s="13"/>
      <c r="F193" s="12"/>
      <c r="G193" s="14"/>
      <c r="I193" s="27">
        <v>0</v>
      </c>
      <c r="N193">
        <f t="shared" si="7"/>
        <v>0</v>
      </c>
      <c r="O193" s="28">
        <f t="shared" si="8"/>
        <v>0</v>
      </c>
    </row>
    <row r="194" spans="1:15" ht="15" x14ac:dyDescent="0.25">
      <c r="A194" s="9"/>
      <c r="B194" s="10"/>
      <c r="C194" s="11"/>
      <c r="D194" s="12"/>
      <c r="E194" s="13"/>
      <c r="F194" s="12"/>
      <c r="G194" s="14"/>
      <c r="I194" s="27">
        <v>0</v>
      </c>
      <c r="N194">
        <f t="shared" si="7"/>
        <v>0</v>
      </c>
      <c r="O194" s="28">
        <f t="shared" si="8"/>
        <v>0</v>
      </c>
    </row>
    <row r="195" spans="1:15" ht="15" x14ac:dyDescent="0.25">
      <c r="A195" s="9"/>
      <c r="B195" s="10"/>
      <c r="C195" s="11"/>
      <c r="D195" s="12"/>
      <c r="E195" s="13"/>
      <c r="F195" s="12"/>
      <c r="G195" s="14"/>
      <c r="I195" s="27">
        <v>0</v>
      </c>
      <c r="N195">
        <f t="shared" ref="N195:N258" si="9">ROUND(E195*100,2)</f>
        <v>0</v>
      </c>
      <c r="O195" s="28">
        <f t="shared" ref="O195:O258" si="10">ROUND(F195,0)</f>
        <v>0</v>
      </c>
    </row>
    <row r="196" spans="1:15" ht="15" x14ac:dyDescent="0.25">
      <c r="A196" s="9"/>
      <c r="B196" s="10"/>
      <c r="C196" s="11"/>
      <c r="D196" s="12"/>
      <c r="E196" s="13"/>
      <c r="F196" s="12"/>
      <c r="G196" s="14"/>
      <c r="I196" s="27">
        <v>0</v>
      </c>
      <c r="N196">
        <f t="shared" si="9"/>
        <v>0</v>
      </c>
      <c r="O196" s="28">
        <f t="shared" si="10"/>
        <v>0</v>
      </c>
    </row>
    <row r="197" spans="1:15" ht="15" x14ac:dyDescent="0.25">
      <c r="A197" s="9"/>
      <c r="B197" s="10"/>
      <c r="C197" s="11"/>
      <c r="D197" s="12"/>
      <c r="E197" s="13"/>
      <c r="F197" s="12"/>
      <c r="G197" s="14"/>
      <c r="I197" s="27">
        <v>0</v>
      </c>
      <c r="N197">
        <f t="shared" si="9"/>
        <v>0</v>
      </c>
      <c r="O197" s="28">
        <f t="shared" si="10"/>
        <v>0</v>
      </c>
    </row>
    <row r="198" spans="1:15" ht="15" x14ac:dyDescent="0.25">
      <c r="A198" s="9"/>
      <c r="B198" s="10"/>
      <c r="C198" s="11"/>
      <c r="D198" s="12"/>
      <c r="E198" s="13"/>
      <c r="F198" s="12"/>
      <c r="G198" s="14"/>
      <c r="I198" s="27">
        <v>0</v>
      </c>
      <c r="N198">
        <f t="shared" si="9"/>
        <v>0</v>
      </c>
      <c r="O198" s="28">
        <f t="shared" si="10"/>
        <v>0</v>
      </c>
    </row>
    <row r="199" spans="1:15" ht="15" x14ac:dyDescent="0.25">
      <c r="A199" s="9"/>
      <c r="B199" s="10"/>
      <c r="C199" s="11"/>
      <c r="D199" s="12"/>
      <c r="E199" s="13"/>
      <c r="F199" s="12"/>
      <c r="G199" s="14"/>
      <c r="I199" s="27">
        <v>0</v>
      </c>
      <c r="N199">
        <f t="shared" si="9"/>
        <v>0</v>
      </c>
      <c r="O199" s="28">
        <f t="shared" si="10"/>
        <v>0</v>
      </c>
    </row>
    <row r="200" spans="1:15" ht="15" x14ac:dyDescent="0.25">
      <c r="A200" s="9"/>
      <c r="B200" s="10"/>
      <c r="C200" s="11"/>
      <c r="D200" s="12"/>
      <c r="E200" s="13"/>
      <c r="F200" s="12"/>
      <c r="G200" s="14"/>
      <c r="I200" s="27">
        <v>0</v>
      </c>
      <c r="N200">
        <f t="shared" si="9"/>
        <v>0</v>
      </c>
      <c r="O200" s="28">
        <f t="shared" si="10"/>
        <v>0</v>
      </c>
    </row>
    <row r="201" spans="1:15" ht="15" x14ac:dyDescent="0.25">
      <c r="A201" s="9"/>
      <c r="B201" s="10"/>
      <c r="C201" s="11"/>
      <c r="D201" s="12"/>
      <c r="E201" s="13"/>
      <c r="F201" s="12"/>
      <c r="G201" s="14"/>
      <c r="I201" s="27">
        <v>0</v>
      </c>
      <c r="N201">
        <f t="shared" si="9"/>
        <v>0</v>
      </c>
      <c r="O201" s="28">
        <f t="shared" si="10"/>
        <v>0</v>
      </c>
    </row>
    <row r="202" spans="1:15" ht="15" x14ac:dyDescent="0.25">
      <c r="A202" s="9"/>
      <c r="B202" s="10"/>
      <c r="C202" s="11"/>
      <c r="D202" s="12"/>
      <c r="E202" s="13"/>
      <c r="F202" s="12"/>
      <c r="G202" s="14"/>
      <c r="I202" s="27">
        <v>0</v>
      </c>
      <c r="N202">
        <f t="shared" si="9"/>
        <v>0</v>
      </c>
      <c r="O202" s="28">
        <f t="shared" si="10"/>
        <v>0</v>
      </c>
    </row>
    <row r="203" spans="1:15" ht="15" x14ac:dyDescent="0.25">
      <c r="A203" s="9"/>
      <c r="B203" s="10"/>
      <c r="C203" s="11"/>
      <c r="D203" s="12"/>
      <c r="E203" s="13"/>
      <c r="F203" s="12"/>
      <c r="G203" s="14"/>
      <c r="I203" s="27">
        <v>0</v>
      </c>
      <c r="N203">
        <f t="shared" si="9"/>
        <v>0</v>
      </c>
      <c r="O203" s="28">
        <f t="shared" si="10"/>
        <v>0</v>
      </c>
    </row>
    <row r="204" spans="1:15" ht="15" x14ac:dyDescent="0.25">
      <c r="A204" s="9"/>
      <c r="B204" s="10"/>
      <c r="C204" s="11"/>
      <c r="D204" s="12"/>
      <c r="E204" s="13"/>
      <c r="F204" s="12"/>
      <c r="G204" s="14"/>
      <c r="I204" s="27">
        <v>0</v>
      </c>
      <c r="N204">
        <f t="shared" si="9"/>
        <v>0</v>
      </c>
      <c r="O204" s="28">
        <f t="shared" si="10"/>
        <v>0</v>
      </c>
    </row>
    <row r="205" spans="1:15" ht="15" x14ac:dyDescent="0.25">
      <c r="A205" s="9"/>
      <c r="B205" s="10"/>
      <c r="C205" s="11"/>
      <c r="D205" s="12"/>
      <c r="E205" s="13"/>
      <c r="F205" s="12"/>
      <c r="G205" s="14"/>
      <c r="I205" s="27">
        <v>0</v>
      </c>
      <c r="N205">
        <f t="shared" si="9"/>
        <v>0</v>
      </c>
      <c r="O205" s="28">
        <f t="shared" si="10"/>
        <v>0</v>
      </c>
    </row>
    <row r="206" spans="1:15" ht="15" x14ac:dyDescent="0.25">
      <c r="A206" s="9"/>
      <c r="B206" s="10"/>
      <c r="C206" s="11"/>
      <c r="D206" s="12"/>
      <c r="E206" s="13"/>
      <c r="F206" s="12"/>
      <c r="G206" s="14"/>
      <c r="I206" s="27">
        <v>0</v>
      </c>
      <c r="N206">
        <f t="shared" si="9"/>
        <v>0</v>
      </c>
      <c r="O206" s="28">
        <f t="shared" si="10"/>
        <v>0</v>
      </c>
    </row>
    <row r="207" spans="1:15" ht="15" x14ac:dyDescent="0.25">
      <c r="A207" s="9"/>
      <c r="B207" s="10"/>
      <c r="C207" s="11"/>
      <c r="D207" s="12"/>
      <c r="E207" s="13"/>
      <c r="F207" s="12"/>
      <c r="G207" s="14"/>
      <c r="I207" s="27">
        <v>0</v>
      </c>
      <c r="N207">
        <f t="shared" si="9"/>
        <v>0</v>
      </c>
      <c r="O207" s="28">
        <f t="shared" si="10"/>
        <v>0</v>
      </c>
    </row>
    <row r="208" spans="1:15" ht="15" x14ac:dyDescent="0.25">
      <c r="A208" s="9"/>
      <c r="B208" s="10"/>
      <c r="C208" s="11"/>
      <c r="D208" s="12"/>
      <c r="E208" s="13"/>
      <c r="F208" s="12"/>
      <c r="G208" s="14"/>
      <c r="I208" s="27">
        <v>0</v>
      </c>
      <c r="N208">
        <f t="shared" si="9"/>
        <v>0</v>
      </c>
      <c r="O208" s="28">
        <f t="shared" si="10"/>
        <v>0</v>
      </c>
    </row>
    <row r="209" spans="1:15" ht="15" x14ac:dyDescent="0.25">
      <c r="A209" s="9"/>
      <c r="B209" s="10"/>
      <c r="C209" s="11"/>
      <c r="D209" s="12"/>
      <c r="E209" s="13"/>
      <c r="F209" s="12"/>
      <c r="G209" s="14"/>
      <c r="I209" s="27">
        <v>0</v>
      </c>
      <c r="N209">
        <f t="shared" si="9"/>
        <v>0</v>
      </c>
      <c r="O209" s="28">
        <f t="shared" si="10"/>
        <v>0</v>
      </c>
    </row>
    <row r="210" spans="1:15" ht="15" x14ac:dyDescent="0.25">
      <c r="A210" s="9"/>
      <c r="B210" s="10"/>
      <c r="C210" s="11"/>
      <c r="D210" s="12"/>
      <c r="E210" s="13"/>
      <c r="F210" s="12"/>
      <c r="G210" s="14"/>
      <c r="I210" s="27">
        <v>0</v>
      </c>
      <c r="N210">
        <f t="shared" si="9"/>
        <v>0</v>
      </c>
      <c r="O210" s="28">
        <f t="shared" si="10"/>
        <v>0</v>
      </c>
    </row>
    <row r="211" spans="1:15" ht="15" x14ac:dyDescent="0.25">
      <c r="A211" s="9"/>
      <c r="B211" s="10"/>
      <c r="C211" s="11"/>
      <c r="D211" s="12"/>
      <c r="E211" s="13"/>
      <c r="F211" s="12"/>
      <c r="G211" s="14"/>
      <c r="I211" s="27">
        <v>0</v>
      </c>
      <c r="N211">
        <f t="shared" si="9"/>
        <v>0</v>
      </c>
      <c r="O211" s="28">
        <f t="shared" si="10"/>
        <v>0</v>
      </c>
    </row>
    <row r="212" spans="1:15" ht="15" x14ac:dyDescent="0.25">
      <c r="A212" s="9"/>
      <c r="B212" s="10"/>
      <c r="C212" s="11"/>
      <c r="D212" s="12"/>
      <c r="E212" s="13"/>
      <c r="F212" s="12"/>
      <c r="G212" s="14"/>
      <c r="I212" s="27">
        <v>0</v>
      </c>
      <c r="N212">
        <f t="shared" si="9"/>
        <v>0</v>
      </c>
      <c r="O212" s="28">
        <f t="shared" si="10"/>
        <v>0</v>
      </c>
    </row>
    <row r="213" spans="1:15" ht="15" x14ac:dyDescent="0.25">
      <c r="A213" s="9"/>
      <c r="B213" s="10"/>
      <c r="C213" s="11"/>
      <c r="D213" s="12"/>
      <c r="E213" s="13"/>
      <c r="F213" s="12"/>
      <c r="G213" s="14"/>
      <c r="I213" s="27">
        <v>0</v>
      </c>
      <c r="N213">
        <f t="shared" si="9"/>
        <v>0</v>
      </c>
      <c r="O213" s="28">
        <f t="shared" si="10"/>
        <v>0</v>
      </c>
    </row>
    <row r="214" spans="1:15" ht="15" x14ac:dyDescent="0.25">
      <c r="A214" s="9"/>
      <c r="B214" s="10"/>
      <c r="C214" s="11"/>
      <c r="D214" s="12"/>
      <c r="E214" s="13"/>
      <c r="F214" s="12"/>
      <c r="G214" s="14"/>
      <c r="I214" s="27">
        <v>0</v>
      </c>
      <c r="N214">
        <f t="shared" si="9"/>
        <v>0</v>
      </c>
      <c r="O214" s="28">
        <f t="shared" si="10"/>
        <v>0</v>
      </c>
    </row>
    <row r="215" spans="1:15" ht="15" x14ac:dyDescent="0.25">
      <c r="A215" s="9"/>
      <c r="B215" s="10"/>
      <c r="C215" s="11"/>
      <c r="D215" s="12"/>
      <c r="E215" s="13"/>
      <c r="F215" s="12"/>
      <c r="G215" s="14"/>
      <c r="I215" s="27">
        <v>0</v>
      </c>
      <c r="N215">
        <f t="shared" si="9"/>
        <v>0</v>
      </c>
      <c r="O215" s="28">
        <f t="shared" si="10"/>
        <v>0</v>
      </c>
    </row>
    <row r="216" spans="1:15" ht="15" x14ac:dyDescent="0.25">
      <c r="A216" s="9"/>
      <c r="B216" s="10"/>
      <c r="C216" s="11"/>
      <c r="D216" s="12"/>
      <c r="E216" s="13"/>
      <c r="F216" s="12"/>
      <c r="G216" s="14"/>
      <c r="I216" s="27">
        <v>0</v>
      </c>
      <c r="N216">
        <f t="shared" si="9"/>
        <v>0</v>
      </c>
      <c r="O216" s="28">
        <f t="shared" si="10"/>
        <v>0</v>
      </c>
    </row>
    <row r="217" spans="1:15" ht="15" x14ac:dyDescent="0.25">
      <c r="A217" s="9"/>
      <c r="B217" s="10"/>
      <c r="C217" s="11"/>
      <c r="D217" s="12"/>
      <c r="E217" s="13"/>
      <c r="F217" s="12"/>
      <c r="G217" s="14"/>
      <c r="I217" s="27">
        <v>0</v>
      </c>
      <c r="N217">
        <f t="shared" si="9"/>
        <v>0</v>
      </c>
      <c r="O217" s="28">
        <f t="shared" si="10"/>
        <v>0</v>
      </c>
    </row>
    <row r="218" spans="1:15" ht="15" x14ac:dyDescent="0.25">
      <c r="A218" s="9"/>
      <c r="B218" s="10"/>
      <c r="C218" s="11"/>
      <c r="D218" s="12"/>
      <c r="E218" s="13"/>
      <c r="F218" s="12"/>
      <c r="G218" s="14"/>
      <c r="I218" s="27">
        <v>0</v>
      </c>
      <c r="N218">
        <f t="shared" si="9"/>
        <v>0</v>
      </c>
      <c r="O218" s="28">
        <f t="shared" si="10"/>
        <v>0</v>
      </c>
    </row>
    <row r="219" spans="1:15" ht="15" x14ac:dyDescent="0.25">
      <c r="A219" s="9"/>
      <c r="B219" s="10"/>
      <c r="C219" s="11"/>
      <c r="D219" s="12"/>
      <c r="E219" s="13"/>
      <c r="F219" s="12"/>
      <c r="G219" s="14"/>
      <c r="I219" s="27">
        <v>0</v>
      </c>
      <c r="N219">
        <f t="shared" si="9"/>
        <v>0</v>
      </c>
      <c r="O219" s="28">
        <f t="shared" si="10"/>
        <v>0</v>
      </c>
    </row>
    <row r="220" spans="1:15" ht="15" x14ac:dyDescent="0.25">
      <c r="A220" s="9"/>
      <c r="B220" s="10"/>
      <c r="C220" s="11"/>
      <c r="D220" s="12"/>
      <c r="E220" s="13"/>
      <c r="F220" s="12"/>
      <c r="G220" s="14"/>
      <c r="I220" s="27">
        <v>0</v>
      </c>
      <c r="N220">
        <f t="shared" si="9"/>
        <v>0</v>
      </c>
      <c r="O220" s="28">
        <f t="shared" si="10"/>
        <v>0</v>
      </c>
    </row>
    <row r="221" spans="1:15" ht="15" x14ac:dyDescent="0.25">
      <c r="A221" s="9"/>
      <c r="B221" s="10"/>
      <c r="C221" s="11"/>
      <c r="D221" s="12"/>
      <c r="E221" s="13"/>
      <c r="F221" s="12"/>
      <c r="G221" s="14"/>
      <c r="I221" s="27">
        <v>0</v>
      </c>
      <c r="N221">
        <f t="shared" si="9"/>
        <v>0</v>
      </c>
      <c r="O221" s="28">
        <f t="shared" si="10"/>
        <v>0</v>
      </c>
    </row>
    <row r="222" spans="1:15" ht="15" x14ac:dyDescent="0.25">
      <c r="A222" s="9"/>
      <c r="B222" s="10"/>
      <c r="C222" s="11"/>
      <c r="D222" s="12"/>
      <c r="E222" s="13"/>
      <c r="F222" s="12"/>
      <c r="G222" s="14"/>
      <c r="I222" s="27">
        <v>0</v>
      </c>
      <c r="N222">
        <f t="shared" si="9"/>
        <v>0</v>
      </c>
      <c r="O222" s="28">
        <f t="shared" si="10"/>
        <v>0</v>
      </c>
    </row>
    <row r="223" spans="1:15" ht="15" x14ac:dyDescent="0.25">
      <c r="A223" s="9"/>
      <c r="B223" s="10"/>
      <c r="C223" s="11"/>
      <c r="D223" s="12"/>
      <c r="E223" s="13"/>
      <c r="F223" s="12"/>
      <c r="G223" s="14"/>
      <c r="I223" s="27">
        <v>0</v>
      </c>
      <c r="N223">
        <f t="shared" si="9"/>
        <v>0</v>
      </c>
      <c r="O223" s="28">
        <f t="shared" si="10"/>
        <v>0</v>
      </c>
    </row>
    <row r="224" spans="1:15" ht="15" x14ac:dyDescent="0.25">
      <c r="A224" s="9"/>
      <c r="B224" s="10"/>
      <c r="C224" s="11"/>
      <c r="D224" s="12"/>
      <c r="E224" s="13"/>
      <c r="F224" s="12"/>
      <c r="G224" s="14"/>
      <c r="I224" s="27">
        <v>0</v>
      </c>
      <c r="N224">
        <f t="shared" si="9"/>
        <v>0</v>
      </c>
      <c r="O224" s="28">
        <f t="shared" si="10"/>
        <v>0</v>
      </c>
    </row>
    <row r="225" spans="1:15" ht="15" x14ac:dyDescent="0.25">
      <c r="A225" s="9"/>
      <c r="B225" s="10"/>
      <c r="C225" s="11"/>
      <c r="D225" s="12"/>
      <c r="E225" s="13"/>
      <c r="F225" s="12"/>
      <c r="G225" s="14"/>
      <c r="I225" s="27">
        <v>0</v>
      </c>
      <c r="N225">
        <f t="shared" si="9"/>
        <v>0</v>
      </c>
      <c r="O225" s="28">
        <f t="shared" si="10"/>
        <v>0</v>
      </c>
    </row>
    <row r="226" spans="1:15" ht="15" x14ac:dyDescent="0.25">
      <c r="A226" s="9"/>
      <c r="B226" s="10"/>
      <c r="C226" s="11"/>
      <c r="D226" s="12"/>
      <c r="E226" s="13"/>
      <c r="F226" s="12"/>
      <c r="G226" s="14"/>
      <c r="I226" s="27">
        <v>0</v>
      </c>
      <c r="N226">
        <f t="shared" si="9"/>
        <v>0</v>
      </c>
      <c r="O226" s="28">
        <f t="shared" si="10"/>
        <v>0</v>
      </c>
    </row>
    <row r="227" spans="1:15" ht="15" x14ac:dyDescent="0.25">
      <c r="A227" s="9"/>
      <c r="B227" s="10"/>
      <c r="C227" s="11"/>
      <c r="D227" s="12"/>
      <c r="E227" s="13"/>
      <c r="F227" s="12"/>
      <c r="G227" s="14"/>
      <c r="I227" s="27">
        <v>0</v>
      </c>
      <c r="N227">
        <f t="shared" si="9"/>
        <v>0</v>
      </c>
      <c r="O227" s="28">
        <f t="shared" si="10"/>
        <v>0</v>
      </c>
    </row>
    <row r="228" spans="1:15" ht="15" x14ac:dyDescent="0.25">
      <c r="A228" s="9"/>
      <c r="B228" s="10"/>
      <c r="C228" s="11"/>
      <c r="D228" s="12"/>
      <c r="E228" s="13"/>
      <c r="F228" s="12"/>
      <c r="G228" s="14"/>
      <c r="I228" s="27">
        <v>0</v>
      </c>
      <c r="N228">
        <f t="shared" si="9"/>
        <v>0</v>
      </c>
      <c r="O228" s="28">
        <f t="shared" si="10"/>
        <v>0</v>
      </c>
    </row>
    <row r="229" spans="1:15" ht="15" x14ac:dyDescent="0.25">
      <c r="A229" s="9"/>
      <c r="B229" s="10"/>
      <c r="C229" s="11"/>
      <c r="D229" s="12"/>
      <c r="E229" s="13"/>
      <c r="F229" s="12"/>
      <c r="G229" s="14"/>
      <c r="I229" s="27">
        <v>0</v>
      </c>
      <c r="N229">
        <f t="shared" si="9"/>
        <v>0</v>
      </c>
      <c r="O229" s="28">
        <f t="shared" si="10"/>
        <v>0</v>
      </c>
    </row>
    <row r="230" spans="1:15" ht="15" x14ac:dyDescent="0.25">
      <c r="A230" s="9"/>
      <c r="B230" s="10"/>
      <c r="C230" s="11"/>
      <c r="D230" s="12"/>
      <c r="E230" s="13"/>
      <c r="F230" s="12"/>
      <c r="G230" s="14"/>
      <c r="I230" s="27">
        <v>0</v>
      </c>
      <c r="N230">
        <f t="shared" si="9"/>
        <v>0</v>
      </c>
      <c r="O230" s="28">
        <f t="shared" si="10"/>
        <v>0</v>
      </c>
    </row>
    <row r="231" spans="1:15" ht="15" x14ac:dyDescent="0.25">
      <c r="A231" s="9"/>
      <c r="B231" s="10"/>
      <c r="C231" s="11"/>
      <c r="D231" s="12"/>
      <c r="E231" s="13"/>
      <c r="F231" s="12"/>
      <c r="G231" s="14"/>
      <c r="I231" s="27">
        <v>0</v>
      </c>
      <c r="N231">
        <f t="shared" si="9"/>
        <v>0</v>
      </c>
      <c r="O231" s="28">
        <f t="shared" si="10"/>
        <v>0</v>
      </c>
    </row>
    <row r="232" spans="1:15" ht="15" x14ac:dyDescent="0.25">
      <c r="A232" s="9"/>
      <c r="B232" s="10"/>
      <c r="C232" s="11"/>
      <c r="D232" s="12"/>
      <c r="E232" s="13"/>
      <c r="F232" s="12"/>
      <c r="G232" s="14"/>
      <c r="I232" s="27">
        <v>0</v>
      </c>
      <c r="N232">
        <f t="shared" si="9"/>
        <v>0</v>
      </c>
      <c r="O232" s="28">
        <f t="shared" si="10"/>
        <v>0</v>
      </c>
    </row>
    <row r="233" spans="1:15" ht="15" x14ac:dyDescent="0.25">
      <c r="A233" s="9"/>
      <c r="B233" s="10"/>
      <c r="C233" s="11"/>
      <c r="D233" s="12"/>
      <c r="E233" s="13"/>
      <c r="F233" s="12"/>
      <c r="G233" s="14"/>
      <c r="I233" s="27">
        <v>0</v>
      </c>
      <c r="N233">
        <f t="shared" si="9"/>
        <v>0</v>
      </c>
      <c r="O233" s="28">
        <f t="shared" si="10"/>
        <v>0</v>
      </c>
    </row>
    <row r="234" spans="1:15" ht="15" x14ac:dyDescent="0.25">
      <c r="A234" s="9"/>
      <c r="B234" s="10"/>
      <c r="C234" s="11"/>
      <c r="D234" s="12"/>
      <c r="E234" s="13"/>
      <c r="F234" s="12"/>
      <c r="G234" s="14"/>
      <c r="I234" s="27">
        <v>0</v>
      </c>
      <c r="N234">
        <f t="shared" si="9"/>
        <v>0</v>
      </c>
      <c r="O234" s="28">
        <f t="shared" si="10"/>
        <v>0</v>
      </c>
    </row>
    <row r="235" spans="1:15" ht="15" x14ac:dyDescent="0.25">
      <c r="A235" s="9"/>
      <c r="B235" s="10"/>
      <c r="C235" s="11"/>
      <c r="D235" s="12"/>
      <c r="E235" s="13"/>
      <c r="F235" s="12"/>
      <c r="G235" s="14"/>
      <c r="I235" s="27">
        <v>0</v>
      </c>
      <c r="N235">
        <f t="shared" si="9"/>
        <v>0</v>
      </c>
      <c r="O235" s="28">
        <f t="shared" si="10"/>
        <v>0</v>
      </c>
    </row>
    <row r="236" spans="1:15" ht="15" x14ac:dyDescent="0.25">
      <c r="A236" s="9"/>
      <c r="B236" s="10"/>
      <c r="C236" s="11"/>
      <c r="D236" s="12"/>
      <c r="E236" s="13"/>
      <c r="F236" s="12"/>
      <c r="G236" s="14"/>
      <c r="I236" s="27">
        <v>0</v>
      </c>
      <c r="N236">
        <f t="shared" si="9"/>
        <v>0</v>
      </c>
      <c r="O236" s="28">
        <f t="shared" si="10"/>
        <v>0</v>
      </c>
    </row>
    <row r="237" spans="1:15" ht="15" x14ac:dyDescent="0.25">
      <c r="A237" s="9"/>
      <c r="B237" s="10"/>
      <c r="C237" s="11"/>
      <c r="D237" s="12"/>
      <c r="E237" s="13"/>
      <c r="F237" s="12"/>
      <c r="G237" s="14"/>
      <c r="I237" s="27">
        <v>0</v>
      </c>
      <c r="N237">
        <f t="shared" si="9"/>
        <v>0</v>
      </c>
      <c r="O237" s="28">
        <f t="shared" si="10"/>
        <v>0</v>
      </c>
    </row>
    <row r="238" spans="1:15" ht="15" x14ac:dyDescent="0.25">
      <c r="A238" s="9"/>
      <c r="B238" s="10"/>
      <c r="C238" s="11"/>
      <c r="D238" s="12"/>
      <c r="E238" s="13"/>
      <c r="F238" s="12"/>
      <c r="G238" s="14"/>
      <c r="I238" s="27">
        <v>0</v>
      </c>
      <c r="N238">
        <f t="shared" si="9"/>
        <v>0</v>
      </c>
      <c r="O238" s="28">
        <f t="shared" si="10"/>
        <v>0</v>
      </c>
    </row>
    <row r="239" spans="1:15" ht="15" x14ac:dyDescent="0.25">
      <c r="A239" s="9"/>
      <c r="B239" s="10"/>
      <c r="C239" s="11"/>
      <c r="D239" s="12"/>
      <c r="E239" s="13"/>
      <c r="F239" s="12"/>
      <c r="G239" s="14"/>
      <c r="I239" s="27">
        <v>0</v>
      </c>
      <c r="N239">
        <f t="shared" si="9"/>
        <v>0</v>
      </c>
      <c r="O239" s="28">
        <f t="shared" si="10"/>
        <v>0</v>
      </c>
    </row>
    <row r="240" spans="1:15" ht="15" x14ac:dyDescent="0.25">
      <c r="A240" s="9"/>
      <c r="B240" s="10"/>
      <c r="C240" s="11"/>
      <c r="D240" s="12"/>
      <c r="E240" s="13"/>
      <c r="F240" s="12"/>
      <c r="G240" s="14"/>
      <c r="I240" s="27">
        <v>0</v>
      </c>
      <c r="N240">
        <f t="shared" si="9"/>
        <v>0</v>
      </c>
      <c r="O240" s="28">
        <f t="shared" si="10"/>
        <v>0</v>
      </c>
    </row>
    <row r="241" spans="1:15" ht="15" x14ac:dyDescent="0.25">
      <c r="A241" s="9"/>
      <c r="B241" s="10"/>
      <c r="C241" s="11"/>
      <c r="D241" s="12"/>
      <c r="E241" s="13"/>
      <c r="F241" s="12"/>
      <c r="G241" s="14"/>
      <c r="I241" s="27">
        <v>0</v>
      </c>
      <c r="N241">
        <f t="shared" si="9"/>
        <v>0</v>
      </c>
      <c r="O241" s="28">
        <f t="shared" si="10"/>
        <v>0</v>
      </c>
    </row>
    <row r="242" spans="1:15" ht="15" x14ac:dyDescent="0.25">
      <c r="A242" s="9"/>
      <c r="B242" s="10"/>
      <c r="C242" s="11"/>
      <c r="D242" s="12"/>
      <c r="E242" s="13"/>
      <c r="F242" s="12"/>
      <c r="G242" s="14"/>
      <c r="I242" s="27">
        <v>0</v>
      </c>
      <c r="N242">
        <f t="shared" si="9"/>
        <v>0</v>
      </c>
      <c r="O242" s="28">
        <f t="shared" si="10"/>
        <v>0</v>
      </c>
    </row>
    <row r="243" spans="1:15" ht="15" x14ac:dyDescent="0.25">
      <c r="A243" s="9"/>
      <c r="B243" s="10"/>
      <c r="C243" s="11"/>
      <c r="D243" s="12"/>
      <c r="E243" s="13"/>
      <c r="F243" s="12"/>
      <c r="G243" s="14"/>
      <c r="I243" s="27">
        <v>0</v>
      </c>
      <c r="N243">
        <f t="shared" si="9"/>
        <v>0</v>
      </c>
      <c r="O243" s="28">
        <f t="shared" si="10"/>
        <v>0</v>
      </c>
    </row>
    <row r="244" spans="1:15" ht="15" x14ac:dyDescent="0.25">
      <c r="A244" s="9"/>
      <c r="B244" s="10"/>
      <c r="C244" s="11"/>
      <c r="D244" s="12"/>
      <c r="E244" s="13"/>
      <c r="F244" s="12"/>
      <c r="G244" s="14"/>
      <c r="I244" s="27">
        <v>0</v>
      </c>
      <c r="N244">
        <f t="shared" si="9"/>
        <v>0</v>
      </c>
      <c r="O244" s="28">
        <f t="shared" si="10"/>
        <v>0</v>
      </c>
    </row>
    <row r="245" spans="1:15" ht="15" x14ac:dyDescent="0.25">
      <c r="A245" s="9"/>
      <c r="B245" s="10"/>
      <c r="C245" s="11"/>
      <c r="D245" s="12"/>
      <c r="E245" s="13"/>
      <c r="F245" s="12"/>
      <c r="G245" s="14"/>
      <c r="I245" s="27">
        <v>0</v>
      </c>
      <c r="N245">
        <f t="shared" si="9"/>
        <v>0</v>
      </c>
      <c r="O245" s="28">
        <f t="shared" si="10"/>
        <v>0</v>
      </c>
    </row>
    <row r="246" spans="1:15" ht="15" x14ac:dyDescent="0.25">
      <c r="A246" s="9"/>
      <c r="B246" s="10"/>
      <c r="C246" s="11"/>
      <c r="D246" s="12"/>
      <c r="E246" s="13"/>
      <c r="F246" s="12"/>
      <c r="G246" s="14"/>
      <c r="I246" s="27">
        <v>0</v>
      </c>
      <c r="N246">
        <f t="shared" si="9"/>
        <v>0</v>
      </c>
      <c r="O246" s="28">
        <f t="shared" si="10"/>
        <v>0</v>
      </c>
    </row>
    <row r="247" spans="1:15" ht="15" x14ac:dyDescent="0.25">
      <c r="A247" s="9"/>
      <c r="B247" s="10"/>
      <c r="C247" s="11"/>
      <c r="D247" s="12"/>
      <c r="E247" s="13"/>
      <c r="F247" s="12"/>
      <c r="G247" s="14"/>
      <c r="I247" s="27">
        <v>0</v>
      </c>
      <c r="N247">
        <f t="shared" si="9"/>
        <v>0</v>
      </c>
      <c r="O247" s="28">
        <f t="shared" si="10"/>
        <v>0</v>
      </c>
    </row>
    <row r="248" spans="1:15" ht="15" x14ac:dyDescent="0.25">
      <c r="A248" s="9"/>
      <c r="B248" s="10"/>
      <c r="C248" s="11"/>
      <c r="D248" s="12"/>
      <c r="E248" s="13"/>
      <c r="F248" s="12"/>
      <c r="G248" s="14"/>
      <c r="I248" s="27">
        <v>0</v>
      </c>
      <c r="N248">
        <f t="shared" si="9"/>
        <v>0</v>
      </c>
      <c r="O248" s="28">
        <f t="shared" si="10"/>
        <v>0</v>
      </c>
    </row>
    <row r="249" spans="1:15" ht="15" x14ac:dyDescent="0.25">
      <c r="A249" s="9"/>
      <c r="B249" s="10"/>
      <c r="C249" s="11"/>
      <c r="D249" s="12"/>
      <c r="E249" s="13"/>
      <c r="F249" s="12"/>
      <c r="G249" s="14"/>
      <c r="I249" s="27">
        <v>0</v>
      </c>
      <c r="N249">
        <f t="shared" si="9"/>
        <v>0</v>
      </c>
      <c r="O249" s="28">
        <f t="shared" si="10"/>
        <v>0</v>
      </c>
    </row>
    <row r="250" spans="1:15" ht="15" x14ac:dyDescent="0.25">
      <c r="A250" s="9"/>
      <c r="B250" s="10"/>
      <c r="C250" s="11"/>
      <c r="D250" s="12"/>
      <c r="E250" s="13"/>
      <c r="F250" s="12"/>
      <c r="G250" s="14"/>
      <c r="I250" s="27">
        <v>0</v>
      </c>
      <c r="N250">
        <f t="shared" si="9"/>
        <v>0</v>
      </c>
      <c r="O250" s="28">
        <f t="shared" si="10"/>
        <v>0</v>
      </c>
    </row>
    <row r="251" spans="1:15" ht="15" x14ac:dyDescent="0.25">
      <c r="A251" s="9"/>
      <c r="B251" s="10"/>
      <c r="C251" s="11"/>
      <c r="D251" s="12"/>
      <c r="E251" s="13"/>
      <c r="F251" s="12"/>
      <c r="G251" s="14"/>
      <c r="I251" s="27">
        <v>0</v>
      </c>
      <c r="N251">
        <f t="shared" si="9"/>
        <v>0</v>
      </c>
      <c r="O251" s="28">
        <f t="shared" si="10"/>
        <v>0</v>
      </c>
    </row>
    <row r="252" spans="1:15" ht="15" x14ac:dyDescent="0.25">
      <c r="A252" s="9"/>
      <c r="B252" s="10"/>
      <c r="C252" s="11"/>
      <c r="D252" s="12"/>
      <c r="E252" s="13"/>
      <c r="F252" s="12"/>
      <c r="G252" s="14"/>
      <c r="I252" s="27">
        <v>0</v>
      </c>
      <c r="N252">
        <f t="shared" si="9"/>
        <v>0</v>
      </c>
      <c r="O252" s="28">
        <f t="shared" si="10"/>
        <v>0</v>
      </c>
    </row>
    <row r="253" spans="1:15" ht="15" x14ac:dyDescent="0.25">
      <c r="A253" s="9"/>
      <c r="B253" s="10"/>
      <c r="C253" s="11"/>
      <c r="D253" s="12"/>
      <c r="E253" s="13"/>
      <c r="F253" s="12"/>
      <c r="G253" s="14"/>
      <c r="I253" s="27">
        <v>0</v>
      </c>
      <c r="N253">
        <f t="shared" si="9"/>
        <v>0</v>
      </c>
      <c r="O253" s="28">
        <f t="shared" si="10"/>
        <v>0</v>
      </c>
    </row>
    <row r="254" spans="1:15" ht="15" x14ac:dyDescent="0.25">
      <c r="A254" s="9"/>
      <c r="B254" s="10"/>
      <c r="C254" s="11"/>
      <c r="D254" s="12"/>
      <c r="E254" s="13"/>
      <c r="F254" s="12"/>
      <c r="G254" s="14"/>
      <c r="I254" s="27">
        <v>0</v>
      </c>
      <c r="N254">
        <f t="shared" si="9"/>
        <v>0</v>
      </c>
      <c r="O254" s="28">
        <f t="shared" si="10"/>
        <v>0</v>
      </c>
    </row>
    <row r="255" spans="1:15" ht="15" x14ac:dyDescent="0.25">
      <c r="A255" s="9"/>
      <c r="B255" s="10"/>
      <c r="C255" s="11"/>
      <c r="D255" s="12"/>
      <c r="E255" s="13"/>
      <c r="F255" s="12"/>
      <c r="G255" s="14"/>
      <c r="I255" s="27">
        <v>0</v>
      </c>
      <c r="N255">
        <f t="shared" si="9"/>
        <v>0</v>
      </c>
      <c r="O255" s="28">
        <f t="shared" si="10"/>
        <v>0</v>
      </c>
    </row>
    <row r="256" spans="1:15" ht="15" x14ac:dyDescent="0.25">
      <c r="A256" s="9"/>
      <c r="B256" s="10"/>
      <c r="C256" s="11"/>
      <c r="D256" s="12"/>
      <c r="E256" s="13"/>
      <c r="F256" s="12"/>
      <c r="G256" s="14"/>
      <c r="I256" s="27">
        <v>0</v>
      </c>
      <c r="N256">
        <f t="shared" si="9"/>
        <v>0</v>
      </c>
      <c r="O256" s="28">
        <f t="shared" si="10"/>
        <v>0</v>
      </c>
    </row>
    <row r="257" spans="1:15" ht="15" x14ac:dyDescent="0.25">
      <c r="A257" s="9"/>
      <c r="B257" s="10"/>
      <c r="C257" s="11"/>
      <c r="D257" s="12"/>
      <c r="E257" s="13"/>
      <c r="F257" s="12"/>
      <c r="G257" s="14"/>
      <c r="I257" s="27">
        <v>0</v>
      </c>
      <c r="N257">
        <f t="shared" si="9"/>
        <v>0</v>
      </c>
      <c r="O257" s="28">
        <f t="shared" si="10"/>
        <v>0</v>
      </c>
    </row>
    <row r="258" spans="1:15" ht="15" x14ac:dyDescent="0.25">
      <c r="A258" s="9"/>
      <c r="B258" s="10"/>
      <c r="C258" s="11"/>
      <c r="D258" s="12"/>
      <c r="E258" s="13"/>
      <c r="F258" s="12"/>
      <c r="G258" s="14"/>
      <c r="I258" s="27">
        <v>0</v>
      </c>
      <c r="N258">
        <f t="shared" si="9"/>
        <v>0</v>
      </c>
      <c r="O258" s="28">
        <f t="shared" si="10"/>
        <v>0</v>
      </c>
    </row>
    <row r="259" spans="1:15" ht="15" x14ac:dyDescent="0.25">
      <c r="A259" s="9"/>
      <c r="B259" s="10"/>
      <c r="C259" s="11"/>
      <c r="D259" s="12"/>
      <c r="E259" s="13"/>
      <c r="F259" s="12"/>
      <c r="G259" s="14"/>
      <c r="I259" s="27">
        <v>0</v>
      </c>
      <c r="N259">
        <f t="shared" ref="N259:N262" si="11">ROUND(E259*100,2)</f>
        <v>0</v>
      </c>
      <c r="O259" s="28">
        <f t="shared" ref="O259:O262" si="12">ROUND(F259,0)</f>
        <v>0</v>
      </c>
    </row>
    <row r="260" spans="1:15" ht="15" x14ac:dyDescent="0.25">
      <c r="A260" s="9"/>
      <c r="B260" s="10"/>
      <c r="C260" s="11"/>
      <c r="D260" s="12"/>
      <c r="E260" s="13"/>
      <c r="F260" s="12"/>
      <c r="G260" s="14"/>
      <c r="I260" s="27">
        <v>0</v>
      </c>
      <c r="N260">
        <f t="shared" si="11"/>
        <v>0</v>
      </c>
      <c r="O260" s="28">
        <f t="shared" si="12"/>
        <v>0</v>
      </c>
    </row>
    <row r="261" spans="1:15" ht="15" x14ac:dyDescent="0.25">
      <c r="A261" s="9"/>
      <c r="B261" s="10"/>
      <c r="C261" s="11"/>
      <c r="D261" s="12"/>
      <c r="E261" s="13"/>
      <c r="F261" s="12"/>
      <c r="G261" s="14"/>
      <c r="I261" s="27">
        <v>0</v>
      </c>
      <c r="N261">
        <f t="shared" si="11"/>
        <v>0</v>
      </c>
      <c r="O261" s="28">
        <f t="shared" si="12"/>
        <v>0</v>
      </c>
    </row>
    <row r="262" spans="1:15" ht="15.75" thickBot="1" x14ac:dyDescent="0.3">
      <c r="A262" s="15"/>
      <c r="B262" s="16"/>
      <c r="C262" s="17"/>
      <c r="D262" s="18"/>
      <c r="E262" s="19"/>
      <c r="F262" s="18"/>
      <c r="G262" s="20"/>
      <c r="I262" s="27">
        <v>0</v>
      </c>
      <c r="N262">
        <f t="shared" si="11"/>
        <v>0</v>
      </c>
      <c r="O262" s="28">
        <f t="shared" si="12"/>
        <v>0</v>
      </c>
    </row>
    <row r="263" spans="1:15" x14ac:dyDescent="0.2">
      <c r="A263" s="1"/>
      <c r="B263" s="1"/>
      <c r="C263" s="1"/>
      <c r="D263" s="1"/>
      <c r="E263" s="1"/>
      <c r="F263" s="1"/>
      <c r="G263" s="1"/>
    </row>
    <row r="264" spans="1:15" x14ac:dyDescent="0.2">
      <c r="A264" s="1"/>
      <c r="B264" s="1"/>
      <c r="C264" s="1"/>
      <c r="D264" s="1"/>
      <c r="E264" s="1"/>
      <c r="F264" s="1"/>
      <c r="G264" s="1"/>
    </row>
    <row r="265" spans="1:15" x14ac:dyDescent="0.2">
      <c r="A265" s="1"/>
      <c r="B265" s="1"/>
      <c r="C265" s="1"/>
      <c r="D265" s="1"/>
      <c r="E265" s="1"/>
      <c r="F265" s="1"/>
      <c r="G265" s="1"/>
    </row>
    <row r="266" spans="1:15" x14ac:dyDescent="0.2">
      <c r="A266" s="1"/>
      <c r="B266" s="1"/>
      <c r="C266" s="1"/>
      <c r="D266" s="1"/>
      <c r="E266" s="1"/>
      <c r="F266" s="1"/>
      <c r="G266" s="1"/>
    </row>
    <row r="267" spans="1:15" x14ac:dyDescent="0.2">
      <c r="A267" s="21"/>
      <c r="B267" s="21"/>
      <c r="C267" s="21"/>
      <c r="D267" s="21"/>
      <c r="E267" s="21"/>
      <c r="F267" s="21"/>
      <c r="G267" s="21"/>
    </row>
    <row r="268" spans="1:15" x14ac:dyDescent="0.2">
      <c r="A268" s="21"/>
      <c r="B268" s="21"/>
      <c r="C268" s="21"/>
      <c r="D268" s="21"/>
      <c r="E268" s="21"/>
      <c r="F268" s="21"/>
      <c r="G268" s="21"/>
    </row>
    <row r="269" spans="1:15" x14ac:dyDescent="0.2">
      <c r="A269" s="21"/>
      <c r="B269" s="21"/>
      <c r="C269" s="21"/>
      <c r="D269" s="21"/>
      <c r="E269" s="21"/>
      <c r="F269" s="21"/>
      <c r="G269" s="21"/>
    </row>
    <row r="270" spans="1:15" x14ac:dyDescent="0.2">
      <c r="A270" s="21"/>
      <c r="B270" s="21"/>
      <c r="C270" s="21"/>
      <c r="D270" s="21"/>
      <c r="E270" s="21"/>
      <c r="F270" s="21"/>
      <c r="G270" s="21"/>
    </row>
    <row r="271" spans="1:15" x14ac:dyDescent="0.2">
      <c r="A271" s="21"/>
      <c r="B271" s="21"/>
      <c r="C271" s="21"/>
      <c r="D271" s="21"/>
      <c r="E271" s="21"/>
      <c r="F271" s="21"/>
      <c r="G271" s="21"/>
    </row>
  </sheetData>
  <autoFilter ref="A1:O262"/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B106"/>
  <sheetViews>
    <sheetView topLeftCell="A25" workbookViewId="0">
      <selection activeCell="B92" sqref="B92"/>
    </sheetView>
  </sheetViews>
  <sheetFormatPr baseColWidth="10" defaultRowHeight="12.75" x14ac:dyDescent="0.2"/>
  <sheetData>
    <row r="1" spans="1:2" ht="15" x14ac:dyDescent="0.2">
      <c r="A1" s="62" t="s">
        <v>191</v>
      </c>
    </row>
    <row r="2" spans="1:2" x14ac:dyDescent="0.2">
      <c r="A2" s="53">
        <v>1</v>
      </c>
      <c r="B2">
        <v>25</v>
      </c>
    </row>
    <row r="3" spans="1:2" x14ac:dyDescent="0.2">
      <c r="A3" s="53">
        <v>2</v>
      </c>
    </row>
    <row r="4" spans="1:2" x14ac:dyDescent="0.2">
      <c r="A4" s="53">
        <v>3</v>
      </c>
    </row>
    <row r="5" spans="1:2" x14ac:dyDescent="0.2">
      <c r="A5" s="53">
        <v>4</v>
      </c>
    </row>
    <row r="6" spans="1:2" x14ac:dyDescent="0.2">
      <c r="A6" s="53">
        <v>5</v>
      </c>
    </row>
    <row r="7" spans="1:2" x14ac:dyDescent="0.2">
      <c r="A7" s="53">
        <v>6</v>
      </c>
    </row>
    <row r="8" spans="1:2" x14ac:dyDescent="0.2">
      <c r="A8" s="53">
        <v>7</v>
      </c>
      <c r="B8">
        <v>25</v>
      </c>
    </row>
    <row r="9" spans="1:2" x14ac:dyDescent="0.2">
      <c r="A9" s="53">
        <v>8</v>
      </c>
    </row>
    <row r="10" spans="1:2" x14ac:dyDescent="0.2">
      <c r="A10" s="53">
        <v>9</v>
      </c>
    </row>
    <row r="11" spans="1:2" x14ac:dyDescent="0.2">
      <c r="A11" s="53">
        <v>10</v>
      </c>
      <c r="B11">
        <v>25</v>
      </c>
    </row>
    <row r="12" spans="1:2" x14ac:dyDescent="0.2">
      <c r="A12" s="53">
        <v>11</v>
      </c>
    </row>
    <row r="13" spans="1:2" x14ac:dyDescent="0.2">
      <c r="A13" s="53">
        <v>12</v>
      </c>
    </row>
    <row r="14" spans="1:2" x14ac:dyDescent="0.2">
      <c r="A14" s="53">
        <v>13</v>
      </c>
    </row>
    <row r="15" spans="1:2" x14ac:dyDescent="0.2">
      <c r="A15" s="53">
        <v>14</v>
      </c>
    </row>
    <row r="16" spans="1:2" x14ac:dyDescent="0.2">
      <c r="A16" s="53">
        <v>15</v>
      </c>
    </row>
    <row r="17" spans="1:2" x14ac:dyDescent="0.2">
      <c r="A17" s="53">
        <v>16</v>
      </c>
      <c r="B17">
        <v>25</v>
      </c>
    </row>
    <row r="18" spans="1:2" x14ac:dyDescent="0.2">
      <c r="A18" s="53">
        <v>17</v>
      </c>
      <c r="B18">
        <v>25</v>
      </c>
    </row>
    <row r="19" spans="1:2" x14ac:dyDescent="0.2">
      <c r="A19" s="53">
        <v>18</v>
      </c>
    </row>
    <row r="20" spans="1:2" x14ac:dyDescent="0.2">
      <c r="A20" s="53">
        <v>19</v>
      </c>
    </row>
    <row r="21" spans="1:2" x14ac:dyDescent="0.2">
      <c r="A21" s="53">
        <v>20</v>
      </c>
    </row>
    <row r="22" spans="1:2" x14ac:dyDescent="0.2">
      <c r="A22" s="53">
        <v>21</v>
      </c>
    </row>
    <row r="23" spans="1:2" x14ac:dyDescent="0.2">
      <c r="A23" s="53">
        <v>22</v>
      </c>
    </row>
    <row r="24" spans="1:2" x14ac:dyDescent="0.2">
      <c r="A24" s="53">
        <v>23</v>
      </c>
    </row>
    <row r="25" spans="1:2" x14ac:dyDescent="0.2">
      <c r="A25" s="53">
        <v>24</v>
      </c>
    </row>
    <row r="26" spans="1:2" x14ac:dyDescent="0.2">
      <c r="A26" s="53">
        <v>25</v>
      </c>
    </row>
    <row r="27" spans="1:2" x14ac:dyDescent="0.2">
      <c r="A27" s="53">
        <v>26</v>
      </c>
    </row>
    <row r="28" spans="1:2" x14ac:dyDescent="0.2">
      <c r="A28" s="53">
        <v>27</v>
      </c>
    </row>
    <row r="29" spans="1:2" x14ac:dyDescent="0.2">
      <c r="A29" s="53">
        <v>28</v>
      </c>
    </row>
    <row r="30" spans="1:2" x14ac:dyDescent="0.2">
      <c r="A30" s="53">
        <v>29</v>
      </c>
    </row>
    <row r="31" spans="1:2" x14ac:dyDescent="0.2">
      <c r="A31" s="53">
        <v>30</v>
      </c>
    </row>
    <row r="32" spans="1:2" x14ac:dyDescent="0.2">
      <c r="A32" s="53">
        <v>31</v>
      </c>
    </row>
    <row r="33" spans="1:2" x14ac:dyDescent="0.2">
      <c r="A33" s="53">
        <v>32</v>
      </c>
    </row>
    <row r="34" spans="1:2" x14ac:dyDescent="0.2">
      <c r="A34" s="53">
        <v>33</v>
      </c>
    </row>
    <row r="35" spans="1:2" x14ac:dyDescent="0.2">
      <c r="A35" s="53">
        <v>34</v>
      </c>
    </row>
    <row r="36" spans="1:2" x14ac:dyDescent="0.2">
      <c r="A36" s="53">
        <v>35</v>
      </c>
    </row>
    <row r="37" spans="1:2" x14ac:dyDescent="0.2">
      <c r="A37" s="53">
        <v>36</v>
      </c>
    </row>
    <row r="38" spans="1:2" x14ac:dyDescent="0.2">
      <c r="A38" s="53">
        <v>37</v>
      </c>
    </row>
    <row r="39" spans="1:2" x14ac:dyDescent="0.2">
      <c r="A39" s="53">
        <v>38</v>
      </c>
      <c r="B39">
        <v>25</v>
      </c>
    </row>
    <row r="40" spans="1:2" x14ac:dyDescent="0.2">
      <c r="A40" s="53">
        <v>39</v>
      </c>
    </row>
    <row r="41" spans="1:2" x14ac:dyDescent="0.2">
      <c r="A41" s="53">
        <v>40</v>
      </c>
      <c r="B41">
        <v>25</v>
      </c>
    </row>
    <row r="42" spans="1:2" x14ac:dyDescent="0.2">
      <c r="A42" s="53">
        <v>41</v>
      </c>
    </row>
    <row r="43" spans="1:2" x14ac:dyDescent="0.2">
      <c r="A43" s="53">
        <v>42</v>
      </c>
    </row>
    <row r="44" spans="1:2" x14ac:dyDescent="0.2">
      <c r="A44" s="53">
        <v>43</v>
      </c>
    </row>
    <row r="45" spans="1:2" x14ac:dyDescent="0.2">
      <c r="A45" s="53">
        <v>44</v>
      </c>
    </row>
    <row r="46" spans="1:2" x14ac:dyDescent="0.2">
      <c r="A46" s="53">
        <v>45</v>
      </c>
    </row>
    <row r="47" spans="1:2" x14ac:dyDescent="0.2">
      <c r="A47" s="53">
        <v>46</v>
      </c>
    </row>
    <row r="48" spans="1:2" x14ac:dyDescent="0.2">
      <c r="A48" s="53">
        <v>47</v>
      </c>
    </row>
    <row r="49" spans="1:2" x14ac:dyDescent="0.2">
      <c r="A49" s="53">
        <v>48</v>
      </c>
    </row>
    <row r="50" spans="1:2" x14ac:dyDescent="0.2">
      <c r="A50" s="53">
        <v>49</v>
      </c>
    </row>
    <row r="51" spans="1:2" x14ac:dyDescent="0.2">
      <c r="A51" s="53">
        <v>50</v>
      </c>
    </row>
    <row r="52" spans="1:2" x14ac:dyDescent="0.2">
      <c r="A52" s="53">
        <v>51</v>
      </c>
    </row>
    <row r="53" spans="1:2" x14ac:dyDescent="0.2">
      <c r="A53" s="53">
        <v>52</v>
      </c>
    </row>
    <row r="54" spans="1:2" x14ac:dyDescent="0.2">
      <c r="A54" s="53">
        <v>53</v>
      </c>
    </row>
    <row r="55" spans="1:2" x14ac:dyDescent="0.2">
      <c r="A55" s="53">
        <v>54</v>
      </c>
    </row>
    <row r="56" spans="1:2" x14ac:dyDescent="0.2">
      <c r="A56" s="53">
        <v>56</v>
      </c>
    </row>
    <row r="57" spans="1:2" x14ac:dyDescent="0.2">
      <c r="A57" s="53">
        <v>58</v>
      </c>
    </row>
    <row r="58" spans="1:2" x14ac:dyDescent="0.2">
      <c r="A58" s="53">
        <v>59</v>
      </c>
    </row>
    <row r="59" spans="1:2" x14ac:dyDescent="0.2">
      <c r="A59" s="53">
        <v>60</v>
      </c>
    </row>
    <row r="60" spans="1:2" x14ac:dyDescent="0.2">
      <c r="A60" s="53">
        <v>61</v>
      </c>
    </row>
    <row r="61" spans="1:2" x14ac:dyDescent="0.2">
      <c r="A61" s="53">
        <v>63</v>
      </c>
      <c r="B61">
        <v>25</v>
      </c>
    </row>
    <row r="62" spans="1:2" x14ac:dyDescent="0.2">
      <c r="A62" s="53">
        <v>64</v>
      </c>
    </row>
    <row r="63" spans="1:2" x14ac:dyDescent="0.2">
      <c r="A63" s="53">
        <v>65</v>
      </c>
    </row>
    <row r="64" spans="1:2" x14ac:dyDescent="0.2">
      <c r="A64" s="53">
        <v>66</v>
      </c>
    </row>
    <row r="65" spans="1:1" x14ac:dyDescent="0.2">
      <c r="A65" s="53">
        <v>69</v>
      </c>
    </row>
    <row r="66" spans="1:1" x14ac:dyDescent="0.2">
      <c r="A66" s="53">
        <v>70</v>
      </c>
    </row>
    <row r="67" spans="1:1" x14ac:dyDescent="0.2">
      <c r="A67" s="53">
        <v>71</v>
      </c>
    </row>
    <row r="68" spans="1:1" x14ac:dyDescent="0.2">
      <c r="A68" s="53">
        <v>72</v>
      </c>
    </row>
    <row r="69" spans="1:1" x14ac:dyDescent="0.2">
      <c r="A69" s="53">
        <v>73</v>
      </c>
    </row>
    <row r="70" spans="1:1" x14ac:dyDescent="0.2">
      <c r="A70" s="53">
        <v>77</v>
      </c>
    </row>
    <row r="71" spans="1:1" x14ac:dyDescent="0.2">
      <c r="A71" s="53">
        <v>78</v>
      </c>
    </row>
    <row r="72" spans="1:1" x14ac:dyDescent="0.2">
      <c r="A72" s="53">
        <v>79</v>
      </c>
    </row>
    <row r="73" spans="1:1" x14ac:dyDescent="0.2">
      <c r="A73" s="53">
        <v>81</v>
      </c>
    </row>
    <row r="74" spans="1:1" x14ac:dyDescent="0.2">
      <c r="A74" s="53">
        <v>82</v>
      </c>
    </row>
    <row r="75" spans="1:1" x14ac:dyDescent="0.2">
      <c r="A75" s="53">
        <v>83</v>
      </c>
    </row>
    <row r="76" spans="1:1" x14ac:dyDescent="0.2">
      <c r="A76" s="53">
        <v>84</v>
      </c>
    </row>
    <row r="77" spans="1:1" x14ac:dyDescent="0.2">
      <c r="A77" s="53">
        <v>92</v>
      </c>
    </row>
    <row r="78" spans="1:1" x14ac:dyDescent="0.2">
      <c r="A78" s="53">
        <v>93</v>
      </c>
    </row>
    <row r="79" spans="1:1" x14ac:dyDescent="0.2">
      <c r="A79" s="53">
        <v>94</v>
      </c>
    </row>
    <row r="80" spans="1:1" x14ac:dyDescent="0.2">
      <c r="A80" s="53">
        <v>96</v>
      </c>
    </row>
    <row r="81" spans="1:2" x14ac:dyDescent="0.2">
      <c r="A81" s="53">
        <v>99</v>
      </c>
    </row>
    <row r="82" spans="1:2" x14ac:dyDescent="0.2">
      <c r="A82" s="53">
        <v>101</v>
      </c>
    </row>
    <row r="83" spans="1:2" x14ac:dyDescent="0.2">
      <c r="A83" s="53">
        <v>106</v>
      </c>
    </row>
    <row r="84" spans="1:2" x14ac:dyDescent="0.2">
      <c r="A84" s="53">
        <v>107</v>
      </c>
      <c r="B84">
        <v>25</v>
      </c>
    </row>
    <row r="85" spans="1:2" x14ac:dyDescent="0.2">
      <c r="A85" s="53">
        <v>111</v>
      </c>
    </row>
    <row r="86" spans="1:2" x14ac:dyDescent="0.2">
      <c r="A86" s="53">
        <v>130</v>
      </c>
    </row>
    <row r="87" spans="1:2" x14ac:dyDescent="0.2">
      <c r="A87" s="53">
        <v>140</v>
      </c>
    </row>
    <row r="88" spans="1:2" x14ac:dyDescent="0.2">
      <c r="A88" s="53">
        <v>141</v>
      </c>
    </row>
    <row r="89" spans="1:2" x14ac:dyDescent="0.2">
      <c r="A89" s="53">
        <v>142</v>
      </c>
    </row>
    <row r="90" spans="1:2" x14ac:dyDescent="0.2">
      <c r="A90" s="53">
        <v>143</v>
      </c>
    </row>
    <row r="91" spans="1:2" x14ac:dyDescent="0.2">
      <c r="A91" s="53">
        <v>144</v>
      </c>
    </row>
    <row r="92" spans="1:2" x14ac:dyDescent="0.2">
      <c r="A92" s="53">
        <v>145</v>
      </c>
      <c r="B92">
        <v>25</v>
      </c>
    </row>
    <row r="93" spans="1:2" x14ac:dyDescent="0.2">
      <c r="A93" s="53">
        <v>146</v>
      </c>
    </row>
    <row r="94" spans="1:2" x14ac:dyDescent="0.2">
      <c r="A94" s="53">
        <v>147</v>
      </c>
    </row>
    <row r="95" spans="1:2" x14ac:dyDescent="0.2">
      <c r="A95" s="53">
        <v>148</v>
      </c>
    </row>
    <row r="96" spans="1:2" x14ac:dyDescent="0.2">
      <c r="A96" s="53">
        <v>149</v>
      </c>
    </row>
    <row r="97" spans="1:1" x14ac:dyDescent="0.2">
      <c r="A97" s="53">
        <v>150</v>
      </c>
    </row>
    <row r="98" spans="1:1" x14ac:dyDescent="0.2">
      <c r="A98" s="53">
        <v>152</v>
      </c>
    </row>
    <row r="99" spans="1:1" x14ac:dyDescent="0.2">
      <c r="A99" s="53">
        <v>153</v>
      </c>
    </row>
    <row r="100" spans="1:1" x14ac:dyDescent="0.2">
      <c r="A100" s="53">
        <v>154</v>
      </c>
    </row>
    <row r="101" spans="1:1" x14ac:dyDescent="0.2">
      <c r="A101" s="53">
        <v>155</v>
      </c>
    </row>
    <row r="102" spans="1:1" x14ac:dyDescent="0.2">
      <c r="A102" s="53">
        <v>156</v>
      </c>
    </row>
    <row r="103" spans="1:1" x14ac:dyDescent="0.2">
      <c r="A103" s="53">
        <v>157</v>
      </c>
    </row>
    <row r="104" spans="1:1" x14ac:dyDescent="0.2">
      <c r="A104" s="53">
        <v>158</v>
      </c>
    </row>
    <row r="105" spans="1:1" x14ac:dyDescent="0.2">
      <c r="A105" s="53">
        <v>159</v>
      </c>
    </row>
    <row r="106" spans="1:1" x14ac:dyDescent="0.2">
      <c r="A106" s="53">
        <v>160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271"/>
  <sheetViews>
    <sheetView tabSelected="1" topLeftCell="D1" workbookViewId="0">
      <selection activeCell="E1" sqref="E1"/>
    </sheetView>
  </sheetViews>
  <sheetFormatPr baseColWidth="10" defaultRowHeight="12.75" x14ac:dyDescent="0.2"/>
  <cols>
    <col min="2" max="2" width="12.42578125" bestFit="1" customWidth="1"/>
    <col min="4" max="4" width="11.42578125" style="49"/>
    <col min="5" max="5" width="17.140625" style="49" customWidth="1"/>
    <col min="6" max="6" width="24" style="49" customWidth="1"/>
    <col min="7" max="7" width="8.28515625" style="49" customWidth="1"/>
    <col min="8" max="9" width="16.7109375" style="49" customWidth="1"/>
    <col min="10" max="10" width="15.28515625" style="49" customWidth="1"/>
    <col min="11" max="12" width="21.7109375" style="75" customWidth="1"/>
    <col min="13" max="17" width="21.7109375" style="49" customWidth="1"/>
    <col min="18" max="18" width="6.42578125" style="49" bestFit="1" customWidth="1"/>
    <col min="19" max="19" width="8" style="49" bestFit="1" customWidth="1"/>
    <col min="20" max="20" width="8" style="49" customWidth="1"/>
    <col min="21" max="21" width="6" style="49" bestFit="1" customWidth="1"/>
    <col min="22" max="22" width="8.42578125" style="49" bestFit="1" customWidth="1"/>
    <col min="23" max="23" width="6" style="49" bestFit="1" customWidth="1"/>
    <col min="24" max="24" width="4" style="49" bestFit="1" customWidth="1"/>
  </cols>
  <sheetData>
    <row r="1" spans="1:24" ht="15" x14ac:dyDescent="0.2">
      <c r="A1" t="s">
        <v>304</v>
      </c>
      <c r="B1" s="81" t="s">
        <v>305</v>
      </c>
      <c r="D1" s="62" t="s">
        <v>191</v>
      </c>
      <c r="E1" s="62" t="s">
        <v>2</v>
      </c>
      <c r="F1" s="62" t="s">
        <v>3</v>
      </c>
      <c r="G1" s="62" t="s">
        <v>4</v>
      </c>
      <c r="H1" s="62" t="s">
        <v>5</v>
      </c>
      <c r="I1" s="62" t="s">
        <v>6</v>
      </c>
      <c r="J1" s="62" t="s">
        <v>7</v>
      </c>
      <c r="K1" s="72" t="s">
        <v>164</v>
      </c>
      <c r="L1" s="78"/>
      <c r="M1" s="68"/>
      <c r="N1" s="68"/>
      <c r="O1" s="68"/>
      <c r="P1" s="68"/>
      <c r="Q1" s="68"/>
      <c r="R1" s="24" t="s">
        <v>303</v>
      </c>
      <c r="S1" s="23" t="s">
        <v>302</v>
      </c>
      <c r="T1" s="23" t="s">
        <v>165</v>
      </c>
      <c r="U1" s="23" t="s">
        <v>166</v>
      </c>
      <c r="V1" s="23" t="s">
        <v>167</v>
      </c>
      <c r="W1" s="29" t="s">
        <v>168</v>
      </c>
      <c r="X1" s="29" t="s">
        <v>169</v>
      </c>
    </row>
    <row r="2" spans="1:24" ht="15" x14ac:dyDescent="0.25">
      <c r="B2" s="67" t="s">
        <v>525</v>
      </c>
      <c r="D2" s="53">
        <v>1</v>
      </c>
      <c r="E2" s="52" t="s">
        <v>106</v>
      </c>
      <c r="F2" s="54">
        <v>16</v>
      </c>
      <c r="G2" s="56">
        <v>1766</v>
      </c>
      <c r="H2" s="61">
        <v>0.82718074924801799</v>
      </c>
      <c r="I2" s="56">
        <v>219.65899999999999</v>
      </c>
      <c r="J2" s="59" t="s">
        <v>107</v>
      </c>
      <c r="K2" s="73" t="s">
        <v>192</v>
      </c>
      <c r="L2" s="79" t="s">
        <v>416</v>
      </c>
      <c r="M2" s="69" t="str">
        <f>MID(N2,1,P2-1)</f>
        <v>69714128882</v>
      </c>
      <c r="N2" s="76" t="s">
        <v>307</v>
      </c>
      <c r="O2" s="76">
        <f>LEN(N2)</f>
        <v>16</v>
      </c>
      <c r="P2" s="76">
        <f>FIND("e",N2)</f>
        <v>12</v>
      </c>
      <c r="Q2" s="76" t="e">
        <f>IF(FIND(L2,$B$3)&gt;0,1,0)</f>
        <v>#VALUE!</v>
      </c>
      <c r="R2" s="25">
        <v>50</v>
      </c>
      <c r="S2" s="22">
        <v>25</v>
      </c>
      <c r="T2" s="22">
        <f>R2+S2</f>
        <v>75</v>
      </c>
      <c r="U2" s="22"/>
      <c r="V2" s="22"/>
      <c r="W2" s="49">
        <f>ROUND(H2*100,2)</f>
        <v>82.72</v>
      </c>
      <c r="X2" s="28">
        <f>ROUND(I2,0)</f>
        <v>220</v>
      </c>
    </row>
    <row r="3" spans="1:24" ht="15" x14ac:dyDescent="0.25">
      <c r="B3" s="67" t="s">
        <v>305</v>
      </c>
      <c r="D3" s="53">
        <v>2</v>
      </c>
      <c r="E3" s="52" t="s">
        <v>108</v>
      </c>
      <c r="F3" s="54">
        <v>16</v>
      </c>
      <c r="G3" s="56">
        <v>1448</v>
      </c>
      <c r="H3" s="61">
        <v>0.74022422750888694</v>
      </c>
      <c r="I3" s="56">
        <v>261.86900000000003</v>
      </c>
      <c r="J3" s="59" t="s">
        <v>107</v>
      </c>
      <c r="K3" s="73" t="s">
        <v>193</v>
      </c>
      <c r="L3" s="79" t="s">
        <v>417</v>
      </c>
      <c r="M3" s="69" t="str">
        <f t="shared" ref="L3:M66" si="0">MID(N3,1,P3-1)</f>
        <v>9221412766</v>
      </c>
      <c r="N3" s="76" t="s">
        <v>308</v>
      </c>
      <c r="O3" s="76">
        <f t="shared" ref="O3:O66" si="1">LEN(N3)</f>
        <v>15</v>
      </c>
      <c r="P3" s="76">
        <f t="shared" ref="P3:P66" si="2">FIND("e",N3)</f>
        <v>11</v>
      </c>
      <c r="Q3" s="76"/>
      <c r="R3" s="25">
        <v>45</v>
      </c>
      <c r="S3" s="22"/>
      <c r="T3" s="22">
        <f t="shared" ref="T3:T66" si="3">R3+S3</f>
        <v>45</v>
      </c>
      <c r="U3" s="22"/>
      <c r="V3" s="22"/>
      <c r="W3" s="49">
        <f t="shared" ref="W3:W66" si="4">ROUND(H3*100,2)</f>
        <v>74.02</v>
      </c>
      <c r="X3" s="28">
        <f t="shared" ref="X3:X66" si="5">ROUND(I3,0)</f>
        <v>262</v>
      </c>
    </row>
    <row r="4" spans="1:24" ht="15" x14ac:dyDescent="0.25">
      <c r="D4" s="53">
        <v>3</v>
      </c>
      <c r="E4" s="52" t="s">
        <v>119</v>
      </c>
      <c r="F4" s="54">
        <v>16</v>
      </c>
      <c r="G4" s="56">
        <v>1309</v>
      </c>
      <c r="H4" s="61">
        <v>0.70221493027071402</v>
      </c>
      <c r="I4" s="56">
        <v>364.58100000000002</v>
      </c>
      <c r="J4" s="59" t="s">
        <v>107</v>
      </c>
      <c r="K4" s="73" t="s">
        <v>194</v>
      </c>
      <c r="L4" s="79" t="s">
        <v>418</v>
      </c>
      <c r="M4" s="69" t="str">
        <f t="shared" si="0"/>
        <v>67814127592</v>
      </c>
      <c r="N4" s="76" t="s">
        <v>309</v>
      </c>
      <c r="O4" s="76">
        <f t="shared" si="1"/>
        <v>16</v>
      </c>
      <c r="P4" s="76">
        <f t="shared" si="2"/>
        <v>12</v>
      </c>
      <c r="Q4" s="76"/>
      <c r="R4" s="25">
        <v>40</v>
      </c>
      <c r="S4" s="22"/>
      <c r="T4" s="22">
        <f t="shared" si="3"/>
        <v>40</v>
      </c>
      <c r="U4" s="22"/>
      <c r="V4" s="22"/>
      <c r="W4" s="49">
        <f t="shared" si="4"/>
        <v>70.22</v>
      </c>
      <c r="X4" s="28">
        <f t="shared" si="5"/>
        <v>365</v>
      </c>
    </row>
    <row r="5" spans="1:24" ht="15" x14ac:dyDescent="0.25">
      <c r="D5" s="53">
        <v>4</v>
      </c>
      <c r="E5" s="52" t="s">
        <v>109</v>
      </c>
      <c r="F5" s="54">
        <v>16</v>
      </c>
      <c r="G5" s="56">
        <v>1286</v>
      </c>
      <c r="H5" s="61">
        <v>0.69592562209461295</v>
      </c>
      <c r="I5" s="56">
        <v>347.29500000000002</v>
      </c>
      <c r="J5" s="59" t="s">
        <v>107</v>
      </c>
      <c r="K5" s="73" t="s">
        <v>195</v>
      </c>
      <c r="L5" s="79" t="s">
        <v>419</v>
      </c>
      <c r="M5" s="69" t="str">
        <f t="shared" si="0"/>
        <v>65214128746</v>
      </c>
      <c r="N5" s="77" t="s">
        <v>310</v>
      </c>
      <c r="O5" s="76">
        <f t="shared" si="1"/>
        <v>16</v>
      </c>
      <c r="P5" s="76">
        <f t="shared" si="2"/>
        <v>12</v>
      </c>
      <c r="Q5" s="77"/>
      <c r="R5" s="26">
        <v>30</v>
      </c>
      <c r="S5" s="22"/>
      <c r="T5" s="22">
        <f t="shared" si="3"/>
        <v>30</v>
      </c>
      <c r="U5" s="22"/>
      <c r="V5" s="22"/>
      <c r="W5" s="49">
        <f t="shared" si="4"/>
        <v>69.59</v>
      </c>
      <c r="X5" s="28">
        <f t="shared" si="5"/>
        <v>347</v>
      </c>
    </row>
    <row r="6" spans="1:24" ht="15" x14ac:dyDescent="0.25">
      <c r="D6" s="53">
        <v>5</v>
      </c>
      <c r="E6" s="52" t="s">
        <v>135</v>
      </c>
      <c r="F6" s="54">
        <v>16</v>
      </c>
      <c r="G6" s="56">
        <v>1284</v>
      </c>
      <c r="H6" s="61">
        <v>0.69537872573147397</v>
      </c>
      <c r="I6" s="56">
        <v>266.89400000000001</v>
      </c>
      <c r="J6" s="59" t="s">
        <v>107</v>
      </c>
      <c r="K6" s="73" t="s">
        <v>196</v>
      </c>
      <c r="L6" s="79" t="s">
        <v>420</v>
      </c>
      <c r="M6" s="69" t="str">
        <f t="shared" si="0"/>
        <v>10141262487</v>
      </c>
      <c r="N6" s="77" t="s">
        <v>311</v>
      </c>
      <c r="O6" s="76">
        <f t="shared" si="1"/>
        <v>16</v>
      </c>
      <c r="P6" s="76">
        <f t="shared" si="2"/>
        <v>12</v>
      </c>
      <c r="Q6" s="77"/>
      <c r="R6" s="26">
        <v>25</v>
      </c>
      <c r="S6" s="22"/>
      <c r="T6" s="22">
        <f t="shared" si="3"/>
        <v>25</v>
      </c>
      <c r="U6" s="22"/>
      <c r="V6" s="22"/>
      <c r="W6" s="49">
        <f t="shared" si="4"/>
        <v>69.540000000000006</v>
      </c>
      <c r="X6" s="28">
        <f t="shared" si="5"/>
        <v>267</v>
      </c>
    </row>
    <row r="7" spans="1:24" ht="15" x14ac:dyDescent="0.25">
      <c r="D7" s="53">
        <v>6</v>
      </c>
      <c r="E7" s="52" t="s">
        <v>8</v>
      </c>
      <c r="F7" s="54">
        <v>16</v>
      </c>
      <c r="G7" s="56">
        <v>1272</v>
      </c>
      <c r="H7" s="61">
        <v>0.69209734755263896</v>
      </c>
      <c r="I7" s="56">
        <v>152.37700000000001</v>
      </c>
      <c r="J7" s="59" t="s">
        <v>9</v>
      </c>
      <c r="K7" s="73" t="s">
        <v>197</v>
      </c>
      <c r="L7" s="79" t="s">
        <v>421</v>
      </c>
      <c r="M7" s="69" t="str">
        <f t="shared" si="0"/>
        <v>77714127834</v>
      </c>
      <c r="N7" s="77" t="s">
        <v>312</v>
      </c>
      <c r="O7" s="76">
        <f t="shared" si="1"/>
        <v>16</v>
      </c>
      <c r="P7" s="76">
        <f t="shared" si="2"/>
        <v>12</v>
      </c>
      <c r="Q7" s="77"/>
      <c r="R7" s="26">
        <v>20</v>
      </c>
      <c r="S7" s="22"/>
      <c r="T7" s="22">
        <f t="shared" si="3"/>
        <v>20</v>
      </c>
      <c r="U7" s="22"/>
      <c r="V7" s="22"/>
      <c r="W7" s="49">
        <f t="shared" si="4"/>
        <v>69.209999999999994</v>
      </c>
      <c r="X7" s="28">
        <f t="shared" si="5"/>
        <v>152</v>
      </c>
    </row>
    <row r="8" spans="1:24" ht="15" x14ac:dyDescent="0.25">
      <c r="D8" s="53">
        <v>7</v>
      </c>
      <c r="E8" s="52" t="s">
        <v>75</v>
      </c>
      <c r="F8" s="54">
        <v>16</v>
      </c>
      <c r="G8" s="56">
        <v>2029.0208333333301</v>
      </c>
      <c r="H8" s="61">
        <v>0.68908236371471698</v>
      </c>
      <c r="I8" s="56">
        <v>129.762</v>
      </c>
      <c r="J8" s="59" t="s">
        <v>65</v>
      </c>
      <c r="K8" s="73" t="s">
        <v>198</v>
      </c>
      <c r="L8" s="79" t="s">
        <v>422</v>
      </c>
      <c r="M8" s="69" t="str">
        <f t="shared" si="0"/>
        <v>59914127731</v>
      </c>
      <c r="N8" s="77" t="s">
        <v>313</v>
      </c>
      <c r="O8" s="76">
        <f t="shared" si="1"/>
        <v>16</v>
      </c>
      <c r="P8" s="76">
        <f t="shared" si="2"/>
        <v>12</v>
      </c>
      <c r="Q8" s="77"/>
      <c r="R8" s="26">
        <v>15</v>
      </c>
      <c r="S8" s="22">
        <v>25</v>
      </c>
      <c r="T8" s="22">
        <f t="shared" si="3"/>
        <v>40</v>
      </c>
      <c r="U8" s="22"/>
      <c r="V8" s="22"/>
      <c r="W8" s="49">
        <f t="shared" si="4"/>
        <v>68.91</v>
      </c>
      <c r="X8" s="28">
        <f t="shared" si="5"/>
        <v>130</v>
      </c>
    </row>
    <row r="9" spans="1:24" ht="15" x14ac:dyDescent="0.25">
      <c r="D9" s="53">
        <v>8</v>
      </c>
      <c r="E9" s="52" t="s">
        <v>184</v>
      </c>
      <c r="F9" s="54">
        <v>16</v>
      </c>
      <c r="G9" s="56">
        <v>1174.5</v>
      </c>
      <c r="H9" s="61">
        <v>0.66543614984960398</v>
      </c>
      <c r="I9" s="56">
        <v>193.29499999999999</v>
      </c>
      <c r="J9" s="59" t="s">
        <v>107</v>
      </c>
      <c r="K9" s="73" t="s">
        <v>199</v>
      </c>
      <c r="L9" s="79" t="s">
        <v>423</v>
      </c>
      <c r="M9" s="69" t="str">
        <f t="shared" si="0"/>
        <v>41614136395</v>
      </c>
      <c r="N9" s="77" t="s">
        <v>314</v>
      </c>
      <c r="O9" s="76">
        <f t="shared" si="1"/>
        <v>16</v>
      </c>
      <c r="P9" s="76">
        <f t="shared" si="2"/>
        <v>12</v>
      </c>
      <c r="Q9" s="77"/>
      <c r="R9" s="26">
        <v>10</v>
      </c>
      <c r="S9" s="22"/>
      <c r="T9" s="22">
        <f t="shared" si="3"/>
        <v>10</v>
      </c>
      <c r="U9" s="22"/>
      <c r="V9" s="22"/>
      <c r="W9" s="49">
        <f t="shared" si="4"/>
        <v>66.540000000000006</v>
      </c>
      <c r="X9" s="28">
        <f t="shared" si="5"/>
        <v>193</v>
      </c>
    </row>
    <row r="10" spans="1:24" ht="15" x14ac:dyDescent="0.25">
      <c r="D10" s="53">
        <v>9</v>
      </c>
      <c r="E10" s="52" t="s">
        <v>81</v>
      </c>
      <c r="F10" s="54">
        <v>16</v>
      </c>
      <c r="G10" s="56">
        <v>1926.0972222222199</v>
      </c>
      <c r="H10" s="61">
        <v>0.65581681390504898</v>
      </c>
      <c r="I10" s="56">
        <v>37.770000000000003</v>
      </c>
      <c r="J10" s="59" t="s">
        <v>65</v>
      </c>
      <c r="K10" s="73" t="s">
        <v>200</v>
      </c>
      <c r="L10" s="79" t="s">
        <v>424</v>
      </c>
      <c r="M10" s="69" t="str">
        <f t="shared" si="0"/>
        <v>84614126022</v>
      </c>
      <c r="N10" s="77" t="s">
        <v>315</v>
      </c>
      <c r="O10" s="76">
        <f t="shared" si="1"/>
        <v>16</v>
      </c>
      <c r="P10" s="76">
        <f t="shared" si="2"/>
        <v>12</v>
      </c>
      <c r="Q10" s="77"/>
      <c r="R10" s="27">
        <v>5</v>
      </c>
      <c r="S10" s="22"/>
      <c r="T10" s="22">
        <f t="shared" si="3"/>
        <v>5</v>
      </c>
      <c r="U10" s="22"/>
      <c r="V10" s="22"/>
      <c r="W10" s="49">
        <f t="shared" si="4"/>
        <v>65.58</v>
      </c>
      <c r="X10" s="28">
        <f t="shared" si="5"/>
        <v>38</v>
      </c>
    </row>
    <row r="11" spans="1:24" ht="15" x14ac:dyDescent="0.25">
      <c r="D11" s="53">
        <v>10</v>
      </c>
      <c r="E11" s="52" t="s">
        <v>112</v>
      </c>
      <c r="F11" s="54">
        <v>16</v>
      </c>
      <c r="G11" s="56">
        <v>1084.5</v>
      </c>
      <c r="H11" s="61">
        <v>0.64082581350834</v>
      </c>
      <c r="I11" s="56">
        <v>506.27199999999999</v>
      </c>
      <c r="J11" s="59" t="s">
        <v>107</v>
      </c>
      <c r="K11" s="73" t="s">
        <v>201</v>
      </c>
      <c r="L11" s="79" t="s">
        <v>425</v>
      </c>
      <c r="M11" s="69" t="str">
        <f t="shared" si="0"/>
        <v>99214126769</v>
      </c>
      <c r="N11" s="77" t="s">
        <v>316</v>
      </c>
      <c r="O11" s="76">
        <f t="shared" si="1"/>
        <v>16</v>
      </c>
      <c r="P11" s="76">
        <f t="shared" si="2"/>
        <v>12</v>
      </c>
      <c r="Q11" s="77"/>
      <c r="R11" s="26">
        <v>5</v>
      </c>
      <c r="S11" s="22">
        <v>25</v>
      </c>
      <c r="T11" s="22">
        <f t="shared" si="3"/>
        <v>30</v>
      </c>
      <c r="U11" s="22"/>
      <c r="V11" s="22"/>
      <c r="W11" s="49">
        <f t="shared" si="4"/>
        <v>64.08</v>
      </c>
      <c r="X11" s="28">
        <f t="shared" si="5"/>
        <v>506</v>
      </c>
    </row>
    <row r="12" spans="1:24" ht="15" x14ac:dyDescent="0.25">
      <c r="D12" s="53">
        <v>11</v>
      </c>
      <c r="E12" s="52" t="s">
        <v>24</v>
      </c>
      <c r="F12" s="54">
        <v>16</v>
      </c>
      <c r="G12" s="56">
        <v>1043</v>
      </c>
      <c r="H12" s="61">
        <v>0.62947771397320196</v>
      </c>
      <c r="I12" s="56">
        <v>149.71600000000001</v>
      </c>
      <c r="J12" s="59" t="s">
        <v>9</v>
      </c>
      <c r="K12" s="73" t="s">
        <v>202</v>
      </c>
      <c r="L12" s="79" t="s">
        <v>426</v>
      </c>
      <c r="M12" s="69" t="str">
        <f t="shared" si="0"/>
        <v>66714126824</v>
      </c>
      <c r="N12" s="77" t="s">
        <v>317</v>
      </c>
      <c r="O12" s="76">
        <f t="shared" si="1"/>
        <v>16</v>
      </c>
      <c r="P12" s="76">
        <f t="shared" si="2"/>
        <v>12</v>
      </c>
      <c r="Q12" s="77"/>
      <c r="R12" s="26">
        <v>5</v>
      </c>
      <c r="S12" s="22"/>
      <c r="T12" s="22">
        <f t="shared" si="3"/>
        <v>5</v>
      </c>
      <c r="U12" s="22"/>
      <c r="V12" s="22"/>
      <c r="W12" s="49">
        <f t="shared" si="4"/>
        <v>62.95</v>
      </c>
      <c r="X12" s="28">
        <f t="shared" si="5"/>
        <v>150</v>
      </c>
    </row>
    <row r="13" spans="1:24" ht="15" x14ac:dyDescent="0.25">
      <c r="D13" s="53">
        <v>12</v>
      </c>
      <c r="E13" s="52" t="s">
        <v>175</v>
      </c>
      <c r="F13" s="54">
        <v>16</v>
      </c>
      <c r="G13" s="56">
        <v>977</v>
      </c>
      <c r="H13" s="61">
        <v>0.61143013398960899</v>
      </c>
      <c r="I13" s="56">
        <v>160.952</v>
      </c>
      <c r="J13" s="59" t="s">
        <v>9</v>
      </c>
      <c r="K13" s="73" t="s">
        <v>203</v>
      </c>
      <c r="L13" s="79" t="s">
        <v>427</v>
      </c>
      <c r="M13" s="69" t="str">
        <f t="shared" si="0"/>
        <v>29414132785</v>
      </c>
      <c r="N13" s="77" t="s">
        <v>318</v>
      </c>
      <c r="O13" s="76">
        <f t="shared" si="1"/>
        <v>16</v>
      </c>
      <c r="P13" s="76">
        <f t="shared" si="2"/>
        <v>12</v>
      </c>
      <c r="Q13" s="77"/>
      <c r="R13" s="27">
        <v>0</v>
      </c>
      <c r="S13" s="22"/>
      <c r="T13" s="22">
        <f t="shared" si="3"/>
        <v>0</v>
      </c>
      <c r="U13" s="22"/>
      <c r="V13" s="22"/>
      <c r="W13" s="49">
        <f t="shared" si="4"/>
        <v>61.14</v>
      </c>
      <c r="X13" s="28">
        <f t="shared" si="5"/>
        <v>161</v>
      </c>
    </row>
    <row r="14" spans="1:24" ht="15" x14ac:dyDescent="0.25">
      <c r="D14" s="53">
        <v>13</v>
      </c>
      <c r="E14" s="52" t="s">
        <v>12</v>
      </c>
      <c r="F14" s="54">
        <v>16</v>
      </c>
      <c r="G14" s="56">
        <v>976.5</v>
      </c>
      <c r="H14" s="61">
        <v>0.61129340989882397</v>
      </c>
      <c r="I14" s="56">
        <v>130.517</v>
      </c>
      <c r="J14" s="59" t="s">
        <v>9</v>
      </c>
      <c r="K14" s="73" t="s">
        <v>204</v>
      </c>
      <c r="L14" s="79" t="s">
        <v>428</v>
      </c>
      <c r="M14" s="69" t="str">
        <f t="shared" si="0"/>
        <v>56614127024</v>
      </c>
      <c r="N14" s="77" t="s">
        <v>319</v>
      </c>
      <c r="O14" s="76">
        <f t="shared" si="1"/>
        <v>16</v>
      </c>
      <c r="P14" s="76">
        <f t="shared" si="2"/>
        <v>12</v>
      </c>
      <c r="Q14" s="77"/>
      <c r="R14" s="27">
        <v>0</v>
      </c>
      <c r="S14" s="22"/>
      <c r="T14" s="22">
        <f t="shared" si="3"/>
        <v>0</v>
      </c>
      <c r="U14" s="22"/>
      <c r="V14" s="22"/>
      <c r="W14" s="49">
        <f t="shared" si="4"/>
        <v>61.13</v>
      </c>
      <c r="X14" s="28">
        <f t="shared" si="5"/>
        <v>131</v>
      </c>
    </row>
    <row r="15" spans="1:24" ht="15" x14ac:dyDescent="0.25">
      <c r="D15" s="53">
        <v>14</v>
      </c>
      <c r="E15" s="52" t="s">
        <v>187</v>
      </c>
      <c r="F15" s="54">
        <v>16</v>
      </c>
      <c r="G15" s="56">
        <v>964</v>
      </c>
      <c r="H15" s="61">
        <v>0.60787530762920405</v>
      </c>
      <c r="I15" s="56">
        <v>535.90099999999995</v>
      </c>
      <c r="J15" s="59" t="s">
        <v>107</v>
      </c>
      <c r="K15" s="73" t="s">
        <v>278</v>
      </c>
      <c r="L15" s="79" t="s">
        <v>429</v>
      </c>
      <c r="M15" s="69" t="str">
        <f t="shared" si="0"/>
        <v>19414131993</v>
      </c>
      <c r="N15" s="77" t="s">
        <v>320</v>
      </c>
      <c r="O15" s="76">
        <f t="shared" si="1"/>
        <v>16</v>
      </c>
      <c r="P15" s="76">
        <f t="shared" si="2"/>
        <v>12</v>
      </c>
      <c r="Q15" s="77"/>
      <c r="R15" s="27">
        <v>0</v>
      </c>
      <c r="S15" s="22"/>
      <c r="T15" s="22">
        <f t="shared" si="3"/>
        <v>0</v>
      </c>
      <c r="U15" s="22"/>
      <c r="V15" s="22"/>
      <c r="W15" s="49">
        <f t="shared" si="4"/>
        <v>60.79</v>
      </c>
      <c r="X15" s="28">
        <f t="shared" si="5"/>
        <v>536</v>
      </c>
    </row>
    <row r="16" spans="1:24" ht="15" x14ac:dyDescent="0.25">
      <c r="D16" s="53">
        <v>15</v>
      </c>
      <c r="E16" s="52" t="s">
        <v>67</v>
      </c>
      <c r="F16" s="54">
        <v>16</v>
      </c>
      <c r="G16" s="56">
        <v>1774.4479166666699</v>
      </c>
      <c r="H16" s="61">
        <v>0.60680281728075802</v>
      </c>
      <c r="I16" s="56">
        <v>85.048000000000002</v>
      </c>
      <c r="J16" s="59" t="s">
        <v>65</v>
      </c>
      <c r="K16" s="73" t="s">
        <v>205</v>
      </c>
      <c r="L16" s="79" t="s">
        <v>430</v>
      </c>
      <c r="M16" s="69" t="str">
        <f t="shared" si="0"/>
        <v>18141261907</v>
      </c>
      <c r="N16" s="77" t="s">
        <v>321</v>
      </c>
      <c r="O16" s="76">
        <f t="shared" si="1"/>
        <v>16</v>
      </c>
      <c r="P16" s="76">
        <f t="shared" si="2"/>
        <v>12</v>
      </c>
      <c r="Q16" s="77"/>
      <c r="R16" s="27">
        <v>0</v>
      </c>
      <c r="S16" s="22"/>
      <c r="T16" s="22">
        <f t="shared" si="3"/>
        <v>0</v>
      </c>
      <c r="U16" s="22"/>
      <c r="V16" s="22"/>
      <c r="W16" s="49">
        <f t="shared" si="4"/>
        <v>60.68</v>
      </c>
      <c r="X16" s="28">
        <f t="shared" si="5"/>
        <v>85</v>
      </c>
    </row>
    <row r="17" spans="4:24" ht="15" x14ac:dyDescent="0.25">
      <c r="D17" s="53">
        <v>16</v>
      </c>
      <c r="E17" s="52" t="s">
        <v>116</v>
      </c>
      <c r="F17" s="54">
        <v>16</v>
      </c>
      <c r="G17" s="56">
        <v>946.5</v>
      </c>
      <c r="H17" s="61">
        <v>0.60308996445173602</v>
      </c>
      <c r="I17" s="56">
        <v>431.755</v>
      </c>
      <c r="J17" s="59" t="s">
        <v>107</v>
      </c>
      <c r="K17" s="73" t="s">
        <v>206</v>
      </c>
      <c r="L17" s="79" t="s">
        <v>431</v>
      </c>
      <c r="M17" s="69" t="str">
        <f t="shared" si="0"/>
        <v>62514126834</v>
      </c>
      <c r="N17" s="77" t="s">
        <v>322</v>
      </c>
      <c r="O17" s="76">
        <f t="shared" si="1"/>
        <v>16</v>
      </c>
      <c r="P17" s="76">
        <f t="shared" si="2"/>
        <v>12</v>
      </c>
      <c r="Q17" s="77"/>
      <c r="R17" s="27">
        <v>0</v>
      </c>
      <c r="S17" s="49">
        <v>25</v>
      </c>
      <c r="T17" s="22">
        <f t="shared" si="3"/>
        <v>25</v>
      </c>
      <c r="W17" s="49">
        <f t="shared" si="4"/>
        <v>60.31</v>
      </c>
      <c r="X17" s="28">
        <f t="shared" si="5"/>
        <v>432</v>
      </c>
    </row>
    <row r="18" spans="4:24" ht="15" x14ac:dyDescent="0.25">
      <c r="D18" s="53">
        <v>17</v>
      </c>
      <c r="E18" s="52" t="s">
        <v>13</v>
      </c>
      <c r="F18" s="54">
        <v>16</v>
      </c>
      <c r="G18" s="56">
        <v>903</v>
      </c>
      <c r="H18" s="61">
        <v>0.59119496855345899</v>
      </c>
      <c r="I18" s="56">
        <v>215.32300000000001</v>
      </c>
      <c r="J18" s="59" t="s">
        <v>9</v>
      </c>
      <c r="K18" s="73" t="s">
        <v>207</v>
      </c>
      <c r="L18" s="79" t="s">
        <v>432</v>
      </c>
      <c r="M18" s="69" t="str">
        <f t="shared" si="0"/>
        <v>64314126235</v>
      </c>
      <c r="N18" s="77" t="s">
        <v>323</v>
      </c>
      <c r="O18" s="76">
        <f t="shared" si="1"/>
        <v>16</v>
      </c>
      <c r="P18" s="76">
        <f t="shared" si="2"/>
        <v>12</v>
      </c>
      <c r="Q18" s="77"/>
      <c r="R18" s="27">
        <v>0</v>
      </c>
      <c r="S18" s="49">
        <v>25</v>
      </c>
      <c r="T18" s="22">
        <f t="shared" si="3"/>
        <v>25</v>
      </c>
      <c r="W18" s="49">
        <f t="shared" si="4"/>
        <v>59.12</v>
      </c>
      <c r="X18" s="28">
        <f t="shared" si="5"/>
        <v>215</v>
      </c>
    </row>
    <row r="19" spans="4:24" ht="15" x14ac:dyDescent="0.25">
      <c r="D19" s="53">
        <v>18</v>
      </c>
      <c r="E19" s="52" t="s">
        <v>110</v>
      </c>
      <c r="F19" s="54">
        <v>16</v>
      </c>
      <c r="G19" s="56">
        <v>874.5</v>
      </c>
      <c r="H19" s="61">
        <v>0.58340169537872599</v>
      </c>
      <c r="I19" s="56">
        <v>225.41499999999999</v>
      </c>
      <c r="J19" s="59" t="s">
        <v>107</v>
      </c>
      <c r="K19" s="73" t="s">
        <v>209</v>
      </c>
      <c r="L19" s="79" t="s">
        <v>433</v>
      </c>
      <c r="M19" s="69" t="str">
        <f t="shared" si="0"/>
        <v>18814126953</v>
      </c>
      <c r="N19" s="77" t="s">
        <v>324</v>
      </c>
      <c r="O19" s="76">
        <f t="shared" si="1"/>
        <v>16</v>
      </c>
      <c r="P19" s="76">
        <f t="shared" si="2"/>
        <v>12</v>
      </c>
      <c r="Q19" s="77"/>
      <c r="R19" s="27">
        <v>0</v>
      </c>
      <c r="T19" s="22">
        <f t="shared" si="3"/>
        <v>0</v>
      </c>
      <c r="W19" s="49">
        <f t="shared" si="4"/>
        <v>58.34</v>
      </c>
      <c r="X19" s="28">
        <f t="shared" si="5"/>
        <v>225</v>
      </c>
    </row>
    <row r="20" spans="4:24" ht="15" x14ac:dyDescent="0.25">
      <c r="D20" s="53">
        <v>19</v>
      </c>
      <c r="E20" s="52" t="s">
        <v>91</v>
      </c>
      <c r="F20" s="54">
        <v>16</v>
      </c>
      <c r="G20" s="56">
        <v>1695.1666666666699</v>
      </c>
      <c r="H20" s="61">
        <v>0.58117862529627196</v>
      </c>
      <c r="I20" s="56">
        <v>71.171999999999997</v>
      </c>
      <c r="J20" s="59" t="s">
        <v>65</v>
      </c>
      <c r="K20" s="73" t="s">
        <v>210</v>
      </c>
      <c r="L20" s="79" t="s">
        <v>434</v>
      </c>
      <c r="M20" s="69" t="str">
        <f t="shared" si="0"/>
        <v>97914126315</v>
      </c>
      <c r="N20" s="77" t="s">
        <v>325</v>
      </c>
      <c r="O20" s="76">
        <f t="shared" si="1"/>
        <v>16</v>
      </c>
      <c r="P20" s="76">
        <f t="shared" si="2"/>
        <v>12</v>
      </c>
      <c r="Q20" s="77"/>
      <c r="R20" s="27">
        <v>0</v>
      </c>
      <c r="T20" s="22">
        <f t="shared" si="3"/>
        <v>0</v>
      </c>
      <c r="W20" s="49">
        <f t="shared" si="4"/>
        <v>58.12</v>
      </c>
      <c r="X20" s="28">
        <f t="shared" si="5"/>
        <v>71</v>
      </c>
    </row>
    <row r="21" spans="4:24" ht="15" x14ac:dyDescent="0.25">
      <c r="D21" s="53">
        <v>20</v>
      </c>
      <c r="E21" s="52" t="s">
        <v>121</v>
      </c>
      <c r="F21" s="54">
        <v>16</v>
      </c>
      <c r="G21" s="56">
        <v>849.5</v>
      </c>
      <c r="H21" s="61">
        <v>0.57656549083948605</v>
      </c>
      <c r="I21" s="56">
        <v>105.976</v>
      </c>
      <c r="J21" s="59" t="s">
        <v>107</v>
      </c>
      <c r="K21" s="73" t="s">
        <v>208</v>
      </c>
      <c r="L21" s="79" t="s">
        <v>435</v>
      </c>
      <c r="M21" s="69" t="str">
        <f t="shared" si="0"/>
        <v>66714131173</v>
      </c>
      <c r="N21" s="77" t="s">
        <v>326</v>
      </c>
      <c r="O21" s="76">
        <f t="shared" si="1"/>
        <v>16</v>
      </c>
      <c r="P21" s="76">
        <f t="shared" si="2"/>
        <v>12</v>
      </c>
      <c r="Q21" s="77"/>
      <c r="R21" s="27">
        <v>0</v>
      </c>
      <c r="T21" s="22">
        <f t="shared" si="3"/>
        <v>0</v>
      </c>
      <c r="W21" s="49">
        <f t="shared" si="4"/>
        <v>57.66</v>
      </c>
      <c r="X21" s="28">
        <f t="shared" si="5"/>
        <v>106</v>
      </c>
    </row>
    <row r="22" spans="4:24" ht="15" x14ac:dyDescent="0.25">
      <c r="D22" s="53">
        <v>21</v>
      </c>
      <c r="E22" s="52" t="s">
        <v>14</v>
      </c>
      <c r="F22" s="54">
        <v>16</v>
      </c>
      <c r="G22" s="56">
        <v>834</v>
      </c>
      <c r="H22" s="61">
        <v>0.57232704402515699</v>
      </c>
      <c r="I22" s="56">
        <v>224.761</v>
      </c>
      <c r="J22" s="59" t="s">
        <v>9</v>
      </c>
      <c r="K22" s="73" t="s">
        <v>211</v>
      </c>
      <c r="L22" s="79" t="s">
        <v>436</v>
      </c>
      <c r="M22" s="69" t="str">
        <f t="shared" si="0"/>
        <v>81114126294</v>
      </c>
      <c r="N22" s="77" t="s">
        <v>327</v>
      </c>
      <c r="O22" s="76">
        <f t="shared" si="1"/>
        <v>16</v>
      </c>
      <c r="P22" s="76">
        <f t="shared" si="2"/>
        <v>12</v>
      </c>
      <c r="Q22" s="77"/>
      <c r="R22" s="27">
        <v>0</v>
      </c>
      <c r="T22" s="22">
        <f t="shared" si="3"/>
        <v>0</v>
      </c>
      <c r="W22" s="49">
        <f t="shared" si="4"/>
        <v>57.23</v>
      </c>
      <c r="X22" s="28">
        <f t="shared" si="5"/>
        <v>225</v>
      </c>
    </row>
    <row r="23" spans="4:24" ht="15" x14ac:dyDescent="0.25">
      <c r="D23" s="53">
        <v>22</v>
      </c>
      <c r="E23" s="52" t="s">
        <v>68</v>
      </c>
      <c r="F23" s="54">
        <v>16</v>
      </c>
      <c r="G23" s="56">
        <v>1664.61631944444</v>
      </c>
      <c r="H23" s="61">
        <v>0.57130456349206304</v>
      </c>
      <c r="I23" s="56">
        <v>44.165999999999997</v>
      </c>
      <c r="J23" s="59" t="s">
        <v>65</v>
      </c>
      <c r="K23" s="73" t="s">
        <v>212</v>
      </c>
      <c r="L23" s="79" t="s">
        <v>437</v>
      </c>
      <c r="M23" s="69" t="str">
        <f t="shared" si="0"/>
        <v>56214126217</v>
      </c>
      <c r="N23" s="77" t="s">
        <v>328</v>
      </c>
      <c r="O23" s="76">
        <f t="shared" si="1"/>
        <v>16</v>
      </c>
      <c r="P23" s="76">
        <f t="shared" si="2"/>
        <v>12</v>
      </c>
      <c r="Q23" s="77"/>
      <c r="R23" s="27">
        <v>0</v>
      </c>
      <c r="T23" s="22">
        <f t="shared" si="3"/>
        <v>0</v>
      </c>
      <c r="W23" s="49">
        <f t="shared" si="4"/>
        <v>57.13</v>
      </c>
      <c r="X23" s="28">
        <f t="shared" si="5"/>
        <v>44</v>
      </c>
    </row>
    <row r="24" spans="4:24" ht="15" x14ac:dyDescent="0.25">
      <c r="D24" s="53">
        <v>23</v>
      </c>
      <c r="E24" s="52" t="s">
        <v>104</v>
      </c>
      <c r="F24" s="54">
        <v>16</v>
      </c>
      <c r="G24" s="56">
        <v>1655.0364583333301</v>
      </c>
      <c r="H24" s="61">
        <v>0.56820829293255803</v>
      </c>
      <c r="I24" s="56">
        <v>112.566</v>
      </c>
      <c r="J24" s="59" t="s">
        <v>65</v>
      </c>
      <c r="K24" s="73" t="s">
        <v>213</v>
      </c>
      <c r="L24" s="79" t="s">
        <v>438</v>
      </c>
      <c r="M24" s="69" t="str">
        <f t="shared" si="0"/>
        <v>12214126376</v>
      </c>
      <c r="N24" s="77" t="s">
        <v>329</v>
      </c>
      <c r="O24" s="76">
        <f t="shared" si="1"/>
        <v>16</v>
      </c>
      <c r="P24" s="76">
        <f t="shared" si="2"/>
        <v>12</v>
      </c>
      <c r="Q24" s="77"/>
      <c r="R24" s="27">
        <v>0</v>
      </c>
      <c r="T24" s="22">
        <f t="shared" si="3"/>
        <v>0</v>
      </c>
      <c r="W24" s="49">
        <f t="shared" si="4"/>
        <v>56.82</v>
      </c>
      <c r="X24" s="28">
        <f t="shared" si="5"/>
        <v>113</v>
      </c>
    </row>
    <row r="25" spans="4:24" ht="15" x14ac:dyDescent="0.25">
      <c r="D25" s="53">
        <v>24</v>
      </c>
      <c r="E25" s="52" t="s">
        <v>56</v>
      </c>
      <c r="F25" s="54">
        <v>16</v>
      </c>
      <c r="G25" s="56">
        <v>813</v>
      </c>
      <c r="H25" s="61">
        <v>0.56658463221219602</v>
      </c>
      <c r="I25" s="56">
        <v>73.528999999999996</v>
      </c>
      <c r="J25" s="59" t="s">
        <v>9</v>
      </c>
      <c r="K25" s="73" t="s">
        <v>214</v>
      </c>
      <c r="L25" s="79" t="s">
        <v>439</v>
      </c>
      <c r="M25" s="69" t="str">
        <f t="shared" si="0"/>
        <v>91014126208</v>
      </c>
      <c r="N25" s="77" t="s">
        <v>330</v>
      </c>
      <c r="O25" s="76">
        <f t="shared" si="1"/>
        <v>16</v>
      </c>
      <c r="P25" s="76">
        <f t="shared" si="2"/>
        <v>12</v>
      </c>
      <c r="Q25" s="77"/>
      <c r="R25" s="27">
        <v>0</v>
      </c>
      <c r="T25" s="22">
        <f t="shared" si="3"/>
        <v>0</v>
      </c>
      <c r="W25" s="49">
        <f t="shared" si="4"/>
        <v>56.66</v>
      </c>
      <c r="X25" s="28">
        <f t="shared" si="5"/>
        <v>74</v>
      </c>
    </row>
    <row r="26" spans="4:24" ht="15" x14ac:dyDescent="0.25">
      <c r="D26" s="53">
        <v>25</v>
      </c>
      <c r="E26" s="52" t="s">
        <v>16</v>
      </c>
      <c r="F26" s="54">
        <v>16</v>
      </c>
      <c r="G26" s="56">
        <v>810</v>
      </c>
      <c r="H26" s="61">
        <v>0.56576428766748699</v>
      </c>
      <c r="I26" s="56">
        <v>170.49100000000001</v>
      </c>
      <c r="J26" s="59" t="s">
        <v>9</v>
      </c>
      <c r="K26" s="73" t="s">
        <v>215</v>
      </c>
      <c r="L26" s="79" t="s">
        <v>440</v>
      </c>
      <c r="M26" s="69" t="str">
        <f t="shared" si="0"/>
        <v>42414126417</v>
      </c>
      <c r="N26" s="77" t="s">
        <v>331</v>
      </c>
      <c r="O26" s="76">
        <f t="shared" si="1"/>
        <v>16</v>
      </c>
      <c r="P26" s="76">
        <f t="shared" si="2"/>
        <v>12</v>
      </c>
      <c r="Q26" s="77"/>
      <c r="R26" s="27">
        <v>0</v>
      </c>
      <c r="T26" s="22">
        <f t="shared" si="3"/>
        <v>0</v>
      </c>
      <c r="W26" s="49">
        <f t="shared" si="4"/>
        <v>56.58</v>
      </c>
      <c r="X26" s="28">
        <f t="shared" si="5"/>
        <v>170</v>
      </c>
    </row>
    <row r="27" spans="4:24" ht="15" x14ac:dyDescent="0.25">
      <c r="D27" s="53">
        <v>26</v>
      </c>
      <c r="E27" s="52" t="s">
        <v>95</v>
      </c>
      <c r="F27" s="54">
        <v>16</v>
      </c>
      <c r="G27" s="56">
        <v>1616.65625</v>
      </c>
      <c r="H27" s="61">
        <v>0.55580357142857095</v>
      </c>
      <c r="I27" s="56">
        <v>107.941</v>
      </c>
      <c r="J27" s="59" t="s">
        <v>65</v>
      </c>
      <c r="K27" s="73" t="s">
        <v>216</v>
      </c>
      <c r="L27" s="79" t="s">
        <v>441</v>
      </c>
      <c r="M27" s="69" t="str">
        <f t="shared" si="0"/>
        <v>74814126227</v>
      </c>
      <c r="N27" s="77" t="s">
        <v>332</v>
      </c>
      <c r="O27" s="76">
        <f t="shared" si="1"/>
        <v>16</v>
      </c>
      <c r="P27" s="76">
        <f t="shared" si="2"/>
        <v>12</v>
      </c>
      <c r="Q27" s="77"/>
      <c r="R27" s="27">
        <v>0</v>
      </c>
      <c r="T27" s="22">
        <f t="shared" si="3"/>
        <v>0</v>
      </c>
      <c r="W27" s="49">
        <f t="shared" si="4"/>
        <v>55.58</v>
      </c>
      <c r="X27" s="28">
        <f t="shared" si="5"/>
        <v>108</v>
      </c>
    </row>
    <row r="28" spans="4:24" ht="15" x14ac:dyDescent="0.25">
      <c r="D28" s="53">
        <v>27</v>
      </c>
      <c r="E28" s="52" t="s">
        <v>126</v>
      </c>
      <c r="F28" s="54">
        <v>16</v>
      </c>
      <c r="G28" s="56">
        <v>769</v>
      </c>
      <c r="H28" s="61">
        <v>0.55455291222313396</v>
      </c>
      <c r="I28" s="56">
        <v>331.197</v>
      </c>
      <c r="J28" s="59" t="s">
        <v>107</v>
      </c>
      <c r="K28" s="73" t="s">
        <v>226</v>
      </c>
      <c r="L28" s="79" t="s">
        <v>442</v>
      </c>
      <c r="M28" s="69" t="str">
        <f t="shared" si="0"/>
        <v>82714128666</v>
      </c>
      <c r="N28" s="77" t="s">
        <v>333</v>
      </c>
      <c r="O28" s="76">
        <f t="shared" si="1"/>
        <v>16</v>
      </c>
      <c r="P28" s="76">
        <f t="shared" si="2"/>
        <v>12</v>
      </c>
      <c r="Q28" s="77"/>
      <c r="R28" s="27">
        <v>0</v>
      </c>
      <c r="T28" s="22">
        <f t="shared" si="3"/>
        <v>0</v>
      </c>
      <c r="W28" s="49">
        <f t="shared" si="4"/>
        <v>55.46</v>
      </c>
      <c r="X28" s="28">
        <f t="shared" si="5"/>
        <v>331</v>
      </c>
    </row>
    <row r="29" spans="4:24" ht="15" x14ac:dyDescent="0.25">
      <c r="D29" s="53">
        <v>28</v>
      </c>
      <c r="E29" s="52" t="s">
        <v>130</v>
      </c>
      <c r="F29" s="54">
        <v>16</v>
      </c>
      <c r="G29" s="56">
        <v>764</v>
      </c>
      <c r="H29" s="61">
        <v>0.55318567131528595</v>
      </c>
      <c r="I29" s="56">
        <v>155.6</v>
      </c>
      <c r="J29" s="59" t="s">
        <v>107</v>
      </c>
      <c r="K29" s="73" t="s">
        <v>229</v>
      </c>
      <c r="L29" s="79" t="s">
        <v>443</v>
      </c>
      <c r="M29" s="69" t="str">
        <f t="shared" si="0"/>
        <v>91314128081</v>
      </c>
      <c r="N29" s="77" t="s">
        <v>334</v>
      </c>
      <c r="O29" s="76">
        <f t="shared" si="1"/>
        <v>16</v>
      </c>
      <c r="P29" s="76">
        <f t="shared" si="2"/>
        <v>12</v>
      </c>
      <c r="Q29" s="77"/>
      <c r="R29" s="27">
        <v>0</v>
      </c>
      <c r="T29" s="22">
        <f t="shared" si="3"/>
        <v>0</v>
      </c>
      <c r="W29" s="49">
        <f t="shared" si="4"/>
        <v>55.32</v>
      </c>
      <c r="X29" s="28">
        <f t="shared" si="5"/>
        <v>156</v>
      </c>
    </row>
    <row r="30" spans="4:24" ht="15" x14ac:dyDescent="0.25">
      <c r="D30" s="53">
        <v>29</v>
      </c>
      <c r="E30" s="52" t="s">
        <v>72</v>
      </c>
      <c r="F30" s="54">
        <v>16</v>
      </c>
      <c r="G30" s="56">
        <v>1605.7934027777801</v>
      </c>
      <c r="H30" s="61">
        <v>0.55229263179630805</v>
      </c>
      <c r="I30" s="56">
        <v>132.97499999999999</v>
      </c>
      <c r="J30" s="59" t="s">
        <v>65</v>
      </c>
      <c r="K30" s="73" t="s">
        <v>217</v>
      </c>
      <c r="L30" s="79" t="s">
        <v>444</v>
      </c>
      <c r="M30" s="69" t="str">
        <f t="shared" si="0"/>
        <v>47814126206</v>
      </c>
      <c r="N30" s="77" t="s">
        <v>335</v>
      </c>
      <c r="O30" s="76">
        <f t="shared" si="1"/>
        <v>16</v>
      </c>
      <c r="P30" s="76">
        <f t="shared" si="2"/>
        <v>12</v>
      </c>
      <c r="Q30" s="77"/>
      <c r="R30" s="27">
        <v>0</v>
      </c>
      <c r="T30" s="22">
        <f t="shared" si="3"/>
        <v>0</v>
      </c>
      <c r="W30" s="49">
        <f t="shared" si="4"/>
        <v>55.23</v>
      </c>
      <c r="X30" s="28">
        <f t="shared" si="5"/>
        <v>133</v>
      </c>
    </row>
    <row r="31" spans="4:24" ht="15" x14ac:dyDescent="0.25">
      <c r="D31" s="53">
        <v>30</v>
      </c>
      <c r="E31" s="52" t="s">
        <v>100</v>
      </c>
      <c r="F31" s="54">
        <v>16</v>
      </c>
      <c r="G31" s="56">
        <v>1594.1927083333301</v>
      </c>
      <c r="H31" s="61">
        <v>0.54854321536306805</v>
      </c>
      <c r="I31" s="56">
        <v>115.53700000000001</v>
      </c>
      <c r="J31" s="59" t="s">
        <v>65</v>
      </c>
      <c r="K31" s="73" t="s">
        <v>219</v>
      </c>
      <c r="L31" s="79" t="s">
        <v>445</v>
      </c>
      <c r="M31" s="69" t="str">
        <f t="shared" si="0"/>
        <v>33514126743</v>
      </c>
      <c r="N31" s="77" t="s">
        <v>336</v>
      </c>
      <c r="O31" s="76">
        <f t="shared" si="1"/>
        <v>16</v>
      </c>
      <c r="P31" s="76">
        <f t="shared" si="2"/>
        <v>12</v>
      </c>
      <c r="Q31" s="77"/>
      <c r="R31" s="27">
        <v>0</v>
      </c>
      <c r="T31" s="22">
        <f t="shared" si="3"/>
        <v>0</v>
      </c>
      <c r="W31" s="49">
        <f t="shared" si="4"/>
        <v>54.85</v>
      </c>
      <c r="X31" s="28">
        <f t="shared" si="5"/>
        <v>116</v>
      </c>
    </row>
    <row r="32" spans="4:24" ht="15" x14ac:dyDescent="0.25">
      <c r="D32" s="53">
        <v>30</v>
      </c>
      <c r="E32" s="52" t="s">
        <v>100</v>
      </c>
      <c r="F32" s="54">
        <v>16</v>
      </c>
      <c r="G32" s="56">
        <v>1594.1927083333301</v>
      </c>
      <c r="H32" s="61">
        <v>0.54854321536306805</v>
      </c>
      <c r="I32" s="56">
        <v>115.53700000000001</v>
      </c>
      <c r="J32" s="59" t="s">
        <v>65</v>
      </c>
      <c r="K32" s="73" t="s">
        <v>218</v>
      </c>
      <c r="L32" s="79" t="s">
        <v>446</v>
      </c>
      <c r="M32" s="69" t="str">
        <f t="shared" si="0"/>
        <v>65214126742</v>
      </c>
      <c r="N32" s="77" t="s">
        <v>337</v>
      </c>
      <c r="O32" s="76">
        <f t="shared" si="1"/>
        <v>16</v>
      </c>
      <c r="P32" s="76">
        <f t="shared" si="2"/>
        <v>12</v>
      </c>
      <c r="Q32" s="77"/>
      <c r="R32" s="27">
        <v>0</v>
      </c>
      <c r="T32" s="22">
        <f t="shared" si="3"/>
        <v>0</v>
      </c>
      <c r="W32" s="49">
        <f t="shared" si="4"/>
        <v>54.85</v>
      </c>
      <c r="X32" s="28">
        <f t="shared" si="5"/>
        <v>116</v>
      </c>
    </row>
    <row r="33" spans="4:24" ht="15" x14ac:dyDescent="0.25">
      <c r="D33" s="53">
        <v>30</v>
      </c>
      <c r="E33" s="52" t="s">
        <v>100</v>
      </c>
      <c r="F33" s="54">
        <v>16</v>
      </c>
      <c r="G33" s="56">
        <v>1594.1927083333301</v>
      </c>
      <c r="H33" s="61">
        <v>0.54854321536306805</v>
      </c>
      <c r="I33" s="56">
        <v>115.53700000000001</v>
      </c>
      <c r="J33" s="59" t="s">
        <v>65</v>
      </c>
      <c r="K33" s="73" t="s">
        <v>220</v>
      </c>
      <c r="L33" s="79" t="s">
        <v>447</v>
      </c>
      <c r="M33" s="69" t="str">
        <f t="shared" si="0"/>
        <v>91614126743</v>
      </c>
      <c r="N33" s="77" t="s">
        <v>338</v>
      </c>
      <c r="O33" s="76">
        <f t="shared" si="1"/>
        <v>16</v>
      </c>
      <c r="P33" s="76">
        <f t="shared" si="2"/>
        <v>12</v>
      </c>
      <c r="Q33" s="77"/>
      <c r="R33" s="27">
        <v>0</v>
      </c>
      <c r="T33" s="22">
        <f t="shared" si="3"/>
        <v>0</v>
      </c>
      <c r="W33" s="49">
        <f t="shared" si="4"/>
        <v>54.85</v>
      </c>
      <c r="X33" s="28">
        <f t="shared" si="5"/>
        <v>116</v>
      </c>
    </row>
    <row r="34" spans="4:24" ht="15" x14ac:dyDescent="0.25">
      <c r="D34" s="53">
        <v>31</v>
      </c>
      <c r="E34" s="52" t="s">
        <v>114</v>
      </c>
      <c r="F34" s="54">
        <v>16</v>
      </c>
      <c r="G34" s="56">
        <v>724</v>
      </c>
      <c r="H34" s="61">
        <v>0.54224774405250198</v>
      </c>
      <c r="I34" s="56">
        <v>141.9</v>
      </c>
      <c r="J34" s="59" t="s">
        <v>107</v>
      </c>
      <c r="K34" s="73" t="s">
        <v>221</v>
      </c>
      <c r="L34" s="79" t="s">
        <v>448</v>
      </c>
      <c r="M34" s="69" t="str">
        <f t="shared" si="0"/>
        <v>34914126635</v>
      </c>
      <c r="N34" s="77" t="s">
        <v>339</v>
      </c>
      <c r="O34" s="76">
        <f t="shared" si="1"/>
        <v>16</v>
      </c>
      <c r="P34" s="76">
        <f t="shared" si="2"/>
        <v>12</v>
      </c>
      <c r="Q34" s="77"/>
      <c r="R34" s="27">
        <v>0</v>
      </c>
      <c r="T34" s="22">
        <f t="shared" si="3"/>
        <v>0</v>
      </c>
      <c r="W34" s="49">
        <f t="shared" si="4"/>
        <v>54.22</v>
      </c>
      <c r="X34" s="28">
        <f t="shared" si="5"/>
        <v>142</v>
      </c>
    </row>
    <row r="35" spans="4:24" ht="15" x14ac:dyDescent="0.25">
      <c r="D35" s="53">
        <v>32</v>
      </c>
      <c r="E35" s="52" t="s">
        <v>18</v>
      </c>
      <c r="F35" s="54">
        <v>16</v>
      </c>
      <c r="G35" s="56">
        <v>720</v>
      </c>
      <c r="H35" s="61">
        <v>0.54115395132622401</v>
      </c>
      <c r="I35" s="56">
        <v>153.89099999999999</v>
      </c>
      <c r="J35" s="59" t="s">
        <v>9</v>
      </c>
      <c r="K35" s="73" t="s">
        <v>222</v>
      </c>
      <c r="L35" s="79" t="s">
        <v>449</v>
      </c>
      <c r="M35" s="69" t="str">
        <f t="shared" si="0"/>
        <v>46214126759</v>
      </c>
      <c r="N35" s="77" t="s">
        <v>340</v>
      </c>
      <c r="O35" s="76">
        <f t="shared" si="1"/>
        <v>16</v>
      </c>
      <c r="P35" s="76">
        <f t="shared" si="2"/>
        <v>12</v>
      </c>
      <c r="Q35" s="77"/>
      <c r="R35" s="27">
        <v>0</v>
      </c>
      <c r="T35" s="22">
        <f t="shared" si="3"/>
        <v>0</v>
      </c>
      <c r="W35" s="49">
        <f t="shared" si="4"/>
        <v>54.12</v>
      </c>
      <c r="X35" s="28">
        <f t="shared" si="5"/>
        <v>154</v>
      </c>
    </row>
    <row r="36" spans="4:24" ht="15" x14ac:dyDescent="0.25">
      <c r="D36" s="53">
        <v>33</v>
      </c>
      <c r="E36" s="52" t="s">
        <v>74</v>
      </c>
      <c r="F36" s="54">
        <v>16</v>
      </c>
      <c r="G36" s="56">
        <v>1559.4791666666699</v>
      </c>
      <c r="H36" s="61">
        <v>0.53732358327946605</v>
      </c>
      <c r="I36" s="56">
        <v>73.873000000000005</v>
      </c>
      <c r="J36" s="59" t="s">
        <v>65</v>
      </c>
      <c r="K36" s="73" t="s">
        <v>223</v>
      </c>
      <c r="L36" s="79" t="s">
        <v>450</v>
      </c>
      <c r="M36" s="69" t="str">
        <f t="shared" si="0"/>
        <v>35914126194</v>
      </c>
      <c r="N36" s="77" t="s">
        <v>341</v>
      </c>
      <c r="O36" s="76">
        <f t="shared" si="1"/>
        <v>16</v>
      </c>
      <c r="P36" s="76">
        <f t="shared" si="2"/>
        <v>12</v>
      </c>
      <c r="Q36" s="77"/>
      <c r="R36" s="27">
        <v>0</v>
      </c>
      <c r="T36" s="22">
        <f t="shared" si="3"/>
        <v>0</v>
      </c>
      <c r="W36" s="49">
        <f t="shared" si="4"/>
        <v>53.73</v>
      </c>
      <c r="X36" s="28">
        <f t="shared" si="5"/>
        <v>74</v>
      </c>
    </row>
    <row r="37" spans="4:24" ht="15" x14ac:dyDescent="0.25">
      <c r="D37" s="53">
        <v>34</v>
      </c>
      <c r="E37" s="52" t="s">
        <v>171</v>
      </c>
      <c r="F37" s="54">
        <v>16</v>
      </c>
      <c r="G37" s="56">
        <v>700</v>
      </c>
      <c r="H37" s="61">
        <v>0.53568498769483197</v>
      </c>
      <c r="I37" s="56">
        <v>86.777000000000001</v>
      </c>
      <c r="J37" s="59" t="s">
        <v>9</v>
      </c>
      <c r="K37" s="73" t="s">
        <v>224</v>
      </c>
      <c r="L37" s="79" t="s">
        <v>451</v>
      </c>
      <c r="M37" s="69" t="str">
        <f t="shared" si="0"/>
        <v>65014138332</v>
      </c>
      <c r="N37" s="77" t="s">
        <v>342</v>
      </c>
      <c r="O37" s="76">
        <f t="shared" si="1"/>
        <v>16</v>
      </c>
      <c r="P37" s="76">
        <f t="shared" si="2"/>
        <v>12</v>
      </c>
      <c r="Q37" s="77"/>
      <c r="R37" s="27">
        <v>0</v>
      </c>
      <c r="T37" s="22">
        <f t="shared" si="3"/>
        <v>0</v>
      </c>
      <c r="W37" s="49">
        <f t="shared" si="4"/>
        <v>53.57</v>
      </c>
      <c r="X37" s="28">
        <f t="shared" si="5"/>
        <v>87</v>
      </c>
    </row>
    <row r="38" spans="4:24" ht="15" x14ac:dyDescent="0.25">
      <c r="D38" s="53">
        <v>35</v>
      </c>
      <c r="E38" s="52" t="s">
        <v>71</v>
      </c>
      <c r="F38" s="54">
        <v>16</v>
      </c>
      <c r="G38" s="56">
        <v>1543.0572916666699</v>
      </c>
      <c r="H38" s="61">
        <v>0.53201593137254899</v>
      </c>
      <c r="I38" s="56">
        <v>148.023</v>
      </c>
      <c r="J38" s="59" t="s">
        <v>65</v>
      </c>
      <c r="K38" s="73" t="s">
        <v>227</v>
      </c>
      <c r="L38" s="79" t="s">
        <v>452</v>
      </c>
      <c r="M38" s="69" t="str">
        <f t="shared" si="0"/>
        <v>25514126702</v>
      </c>
      <c r="N38" s="77" t="s">
        <v>343</v>
      </c>
      <c r="O38" s="76">
        <f t="shared" si="1"/>
        <v>16</v>
      </c>
      <c r="P38" s="76">
        <f t="shared" si="2"/>
        <v>12</v>
      </c>
      <c r="Q38" s="77"/>
      <c r="R38" s="27">
        <v>0</v>
      </c>
      <c r="T38" s="22">
        <f t="shared" si="3"/>
        <v>0</v>
      </c>
      <c r="W38" s="49">
        <f t="shared" si="4"/>
        <v>53.2</v>
      </c>
      <c r="X38" s="28">
        <f t="shared" si="5"/>
        <v>148</v>
      </c>
    </row>
    <row r="39" spans="4:24" ht="15" x14ac:dyDescent="0.25">
      <c r="D39" s="53">
        <v>36</v>
      </c>
      <c r="E39" s="52" t="s">
        <v>19</v>
      </c>
      <c r="F39" s="54">
        <v>16</v>
      </c>
      <c r="G39" s="56">
        <v>679</v>
      </c>
      <c r="H39" s="61">
        <v>0.52994257588186999</v>
      </c>
      <c r="I39" s="56">
        <v>259.70499999999998</v>
      </c>
      <c r="J39" s="59" t="s">
        <v>9</v>
      </c>
      <c r="K39" s="73" t="s">
        <v>228</v>
      </c>
      <c r="L39" s="79" t="s">
        <v>453</v>
      </c>
      <c r="M39" s="69" t="str">
        <f t="shared" si="0"/>
        <v>82314126241</v>
      </c>
      <c r="N39" s="77" t="s">
        <v>344</v>
      </c>
      <c r="O39" s="76">
        <f t="shared" si="1"/>
        <v>16</v>
      </c>
      <c r="P39" s="76">
        <f t="shared" si="2"/>
        <v>12</v>
      </c>
      <c r="Q39" s="77"/>
      <c r="R39" s="27">
        <v>0</v>
      </c>
      <c r="T39" s="22">
        <f t="shared" si="3"/>
        <v>0</v>
      </c>
      <c r="W39" s="49">
        <f t="shared" si="4"/>
        <v>52.99</v>
      </c>
      <c r="X39" s="28">
        <f t="shared" si="5"/>
        <v>260</v>
      </c>
    </row>
    <row r="40" spans="4:24" ht="15" x14ac:dyDescent="0.25">
      <c r="D40" s="53">
        <v>37</v>
      </c>
      <c r="E40" s="52" t="s">
        <v>98</v>
      </c>
      <c r="F40" s="54">
        <v>16</v>
      </c>
      <c r="G40" s="56">
        <v>1519.06666666667</v>
      </c>
      <c r="H40" s="61">
        <v>0.52426201249730697</v>
      </c>
      <c r="I40" s="56">
        <v>452.39600000000002</v>
      </c>
      <c r="J40" s="59" t="s">
        <v>65</v>
      </c>
      <c r="K40" s="73" t="s">
        <v>230</v>
      </c>
      <c r="L40" s="79" t="s">
        <v>454</v>
      </c>
      <c r="M40" s="69" t="str">
        <f t="shared" si="0"/>
        <v>96414125943</v>
      </c>
      <c r="N40" s="77" t="s">
        <v>345</v>
      </c>
      <c r="O40" s="76">
        <f t="shared" si="1"/>
        <v>16</v>
      </c>
      <c r="P40" s="76">
        <f t="shared" si="2"/>
        <v>12</v>
      </c>
      <c r="Q40" s="77"/>
      <c r="R40" s="27">
        <v>0</v>
      </c>
      <c r="T40" s="22">
        <f t="shared" si="3"/>
        <v>0</v>
      </c>
      <c r="W40" s="49">
        <f t="shared" si="4"/>
        <v>52.43</v>
      </c>
      <c r="X40" s="28">
        <f t="shared" si="5"/>
        <v>452</v>
      </c>
    </row>
    <row r="41" spans="4:24" ht="15" x14ac:dyDescent="0.25">
      <c r="D41" s="53">
        <v>38</v>
      </c>
      <c r="E41" s="52" t="s">
        <v>115</v>
      </c>
      <c r="F41" s="54">
        <v>16</v>
      </c>
      <c r="G41" s="56">
        <v>640</v>
      </c>
      <c r="H41" s="61">
        <v>0.51927809680065595</v>
      </c>
      <c r="I41" s="56">
        <v>324.89999999999998</v>
      </c>
      <c r="J41" s="59" t="s">
        <v>107</v>
      </c>
      <c r="K41" s="73" t="s">
        <v>225</v>
      </c>
      <c r="L41" s="79" t="s">
        <v>455</v>
      </c>
      <c r="M41" s="69" t="str">
        <f t="shared" si="0"/>
        <v>40914125959</v>
      </c>
      <c r="N41" s="77" t="s">
        <v>346</v>
      </c>
      <c r="O41" s="76">
        <f t="shared" si="1"/>
        <v>16</v>
      </c>
      <c r="P41" s="76">
        <f t="shared" si="2"/>
        <v>12</v>
      </c>
      <c r="Q41" s="77"/>
      <c r="R41" s="27">
        <v>0</v>
      </c>
      <c r="S41" s="49">
        <v>25</v>
      </c>
      <c r="T41" s="22">
        <f t="shared" si="3"/>
        <v>25</v>
      </c>
      <c r="W41" s="49">
        <f t="shared" si="4"/>
        <v>51.93</v>
      </c>
      <c r="X41" s="28">
        <f t="shared" si="5"/>
        <v>325</v>
      </c>
    </row>
    <row r="42" spans="4:24" ht="15" x14ac:dyDescent="0.25">
      <c r="D42" s="53">
        <v>39</v>
      </c>
      <c r="E42" s="52" t="s">
        <v>73</v>
      </c>
      <c r="F42" s="54">
        <v>16</v>
      </c>
      <c r="G42" s="56">
        <v>1499.7333333333299</v>
      </c>
      <c r="H42" s="61">
        <v>0.51801335918983005</v>
      </c>
      <c r="I42" s="56">
        <v>208.27500000000001</v>
      </c>
      <c r="J42" s="59" t="s">
        <v>65</v>
      </c>
      <c r="K42" s="73" t="s">
        <v>232</v>
      </c>
      <c r="L42" s="79" t="s">
        <v>456</v>
      </c>
      <c r="M42" s="69" t="str">
        <f t="shared" si="0"/>
        <v>42714126221</v>
      </c>
      <c r="N42" s="77" t="s">
        <v>347</v>
      </c>
      <c r="O42" s="76">
        <f t="shared" si="1"/>
        <v>16</v>
      </c>
      <c r="P42" s="76">
        <f t="shared" si="2"/>
        <v>12</v>
      </c>
      <c r="Q42" s="77"/>
      <c r="R42" s="27">
        <v>0</v>
      </c>
      <c r="T42" s="22">
        <f t="shared" si="3"/>
        <v>0</v>
      </c>
      <c r="W42" s="49">
        <f t="shared" si="4"/>
        <v>51.8</v>
      </c>
      <c r="X42" s="28">
        <f t="shared" si="5"/>
        <v>208</v>
      </c>
    </row>
    <row r="43" spans="4:24" ht="15" x14ac:dyDescent="0.25">
      <c r="D43" s="53">
        <v>40</v>
      </c>
      <c r="E43" s="52" t="s">
        <v>173</v>
      </c>
      <c r="F43" s="54">
        <v>16</v>
      </c>
      <c r="G43" s="56">
        <v>633</v>
      </c>
      <c r="H43" s="61">
        <v>0.51736395952966896</v>
      </c>
      <c r="I43" s="56">
        <v>221.28100000000001</v>
      </c>
      <c r="J43" s="59" t="s">
        <v>9</v>
      </c>
      <c r="K43" s="73" t="s">
        <v>233</v>
      </c>
      <c r="L43" s="79" t="s">
        <v>457</v>
      </c>
      <c r="M43" s="69" t="str">
        <f t="shared" si="0"/>
        <v>28814138434</v>
      </c>
      <c r="N43" s="77" t="s">
        <v>348</v>
      </c>
      <c r="O43" s="76">
        <f t="shared" si="1"/>
        <v>16</v>
      </c>
      <c r="P43" s="76">
        <f t="shared" si="2"/>
        <v>12</v>
      </c>
      <c r="Q43" s="77"/>
      <c r="R43" s="27">
        <v>0</v>
      </c>
      <c r="S43" s="49">
        <v>25</v>
      </c>
      <c r="T43" s="22">
        <f t="shared" si="3"/>
        <v>25</v>
      </c>
      <c r="W43" s="49">
        <f t="shared" si="4"/>
        <v>51.74</v>
      </c>
      <c r="X43" s="28">
        <f t="shared" si="5"/>
        <v>221</v>
      </c>
    </row>
    <row r="44" spans="4:24" ht="15" x14ac:dyDescent="0.25">
      <c r="D44" s="53">
        <v>41</v>
      </c>
      <c r="E44" s="52" t="s">
        <v>117</v>
      </c>
      <c r="F44" s="54">
        <v>16</v>
      </c>
      <c r="G44" s="56">
        <v>626.5</v>
      </c>
      <c r="H44" s="61">
        <v>0.51558654634946699</v>
      </c>
      <c r="I44" s="56">
        <v>323.05</v>
      </c>
      <c r="J44" s="59" t="s">
        <v>107</v>
      </c>
      <c r="K44" s="73" t="s">
        <v>234</v>
      </c>
      <c r="L44" s="79" t="s">
        <v>458</v>
      </c>
      <c r="M44" s="69" t="str">
        <f t="shared" si="0"/>
        <v>67314126264</v>
      </c>
      <c r="N44" s="77" t="s">
        <v>349</v>
      </c>
      <c r="O44" s="76">
        <f t="shared" si="1"/>
        <v>16</v>
      </c>
      <c r="P44" s="76">
        <f t="shared" si="2"/>
        <v>12</v>
      </c>
      <c r="Q44" s="77"/>
      <c r="R44" s="27">
        <v>0</v>
      </c>
      <c r="T44" s="22">
        <f t="shared" si="3"/>
        <v>0</v>
      </c>
      <c r="W44" s="49">
        <f t="shared" si="4"/>
        <v>51.56</v>
      </c>
      <c r="X44" s="28">
        <f t="shared" si="5"/>
        <v>323</v>
      </c>
    </row>
    <row r="45" spans="4:24" ht="15" x14ac:dyDescent="0.25">
      <c r="D45" s="53">
        <v>42</v>
      </c>
      <c r="E45" s="52" t="s">
        <v>182</v>
      </c>
      <c r="F45" s="54">
        <v>16</v>
      </c>
      <c r="G45" s="56">
        <v>605.5</v>
      </c>
      <c r="H45" s="61">
        <v>0.50984413453650501</v>
      </c>
      <c r="I45" s="56">
        <v>112.40300000000001</v>
      </c>
      <c r="J45" s="59" t="s">
        <v>107</v>
      </c>
      <c r="K45" s="73" t="s">
        <v>231</v>
      </c>
      <c r="L45" s="79" t="s">
        <v>459</v>
      </c>
      <c r="M45" s="69" t="str">
        <f t="shared" si="0"/>
        <v>77141381873</v>
      </c>
      <c r="N45" s="77" t="s">
        <v>350</v>
      </c>
      <c r="O45" s="76">
        <f t="shared" si="1"/>
        <v>16</v>
      </c>
      <c r="P45" s="76">
        <f t="shared" si="2"/>
        <v>12</v>
      </c>
      <c r="Q45" s="77"/>
      <c r="R45" s="27">
        <v>0</v>
      </c>
      <c r="T45" s="22">
        <f t="shared" si="3"/>
        <v>0</v>
      </c>
      <c r="W45" s="49">
        <f t="shared" si="4"/>
        <v>50.98</v>
      </c>
      <c r="X45" s="28">
        <f t="shared" si="5"/>
        <v>112</v>
      </c>
    </row>
    <row r="46" spans="4:24" ht="15" x14ac:dyDescent="0.25">
      <c r="D46" s="53">
        <v>43</v>
      </c>
      <c r="E46" s="52" t="s">
        <v>111</v>
      </c>
      <c r="F46" s="54">
        <v>16</v>
      </c>
      <c r="G46" s="56">
        <v>593</v>
      </c>
      <c r="H46" s="61">
        <v>0.50642603226688498</v>
      </c>
      <c r="I46" s="56">
        <v>412.87700000000001</v>
      </c>
      <c r="J46" s="59" t="s">
        <v>107</v>
      </c>
      <c r="K46" s="73" t="s">
        <v>235</v>
      </c>
      <c r="L46" s="79" t="s">
        <v>460</v>
      </c>
      <c r="M46" s="69" t="str">
        <f t="shared" si="0"/>
        <v>1401412699</v>
      </c>
      <c r="N46" s="77" t="s">
        <v>351</v>
      </c>
      <c r="O46" s="76">
        <f t="shared" si="1"/>
        <v>15</v>
      </c>
      <c r="P46" s="76">
        <f t="shared" si="2"/>
        <v>11</v>
      </c>
      <c r="Q46" s="77"/>
      <c r="R46" s="27">
        <v>0</v>
      </c>
      <c r="T46" s="22">
        <f t="shared" si="3"/>
        <v>0</v>
      </c>
      <c r="W46" s="49">
        <f t="shared" si="4"/>
        <v>50.64</v>
      </c>
      <c r="X46" s="28">
        <f t="shared" si="5"/>
        <v>413</v>
      </c>
    </row>
    <row r="47" spans="4:24" ht="15" x14ac:dyDescent="0.25">
      <c r="D47" s="53">
        <v>44</v>
      </c>
      <c r="E47" s="52" t="s">
        <v>127</v>
      </c>
      <c r="F47" s="54">
        <v>16</v>
      </c>
      <c r="G47" s="56">
        <v>588.75</v>
      </c>
      <c r="H47" s="61">
        <v>0.50526387749521495</v>
      </c>
      <c r="I47" s="56">
        <v>356.49900000000002</v>
      </c>
      <c r="J47" s="59" t="s">
        <v>107</v>
      </c>
      <c r="K47" s="73" t="s">
        <v>236</v>
      </c>
      <c r="L47" s="79" t="s">
        <v>461</v>
      </c>
      <c r="M47" s="69" t="str">
        <f t="shared" si="0"/>
        <v>71214126812</v>
      </c>
      <c r="N47" s="77" t="s">
        <v>352</v>
      </c>
      <c r="O47" s="76">
        <f t="shared" si="1"/>
        <v>16</v>
      </c>
      <c r="P47" s="76">
        <f t="shared" si="2"/>
        <v>12</v>
      </c>
      <c r="Q47" s="77"/>
      <c r="R47" s="27">
        <v>0</v>
      </c>
      <c r="T47" s="22">
        <f t="shared" si="3"/>
        <v>0</v>
      </c>
      <c r="W47" s="49">
        <f t="shared" si="4"/>
        <v>50.53</v>
      </c>
      <c r="X47" s="28">
        <f t="shared" si="5"/>
        <v>356</v>
      </c>
    </row>
    <row r="48" spans="4:24" ht="15" x14ac:dyDescent="0.25">
      <c r="D48" s="53">
        <v>45</v>
      </c>
      <c r="E48" s="52" t="s">
        <v>76</v>
      </c>
      <c r="F48" s="54">
        <v>16</v>
      </c>
      <c r="G48" s="56">
        <v>1456.8333333333301</v>
      </c>
      <c r="H48" s="61">
        <v>0.50414781297134204</v>
      </c>
      <c r="I48" s="56">
        <v>72.597999999999999</v>
      </c>
      <c r="J48" s="59" t="s">
        <v>65</v>
      </c>
      <c r="K48" s="73" t="s">
        <v>237</v>
      </c>
      <c r="L48" s="79" t="s">
        <v>462</v>
      </c>
      <c r="M48" s="69" t="str">
        <f t="shared" si="0"/>
        <v>25314126846</v>
      </c>
      <c r="N48" s="77" t="s">
        <v>353</v>
      </c>
      <c r="O48" s="76">
        <f t="shared" si="1"/>
        <v>16</v>
      </c>
      <c r="P48" s="76">
        <f t="shared" si="2"/>
        <v>12</v>
      </c>
      <c r="Q48" s="77"/>
      <c r="R48" s="27">
        <v>0</v>
      </c>
      <c r="T48" s="22">
        <f t="shared" si="3"/>
        <v>0</v>
      </c>
      <c r="W48" s="49">
        <f t="shared" si="4"/>
        <v>50.41</v>
      </c>
      <c r="X48" s="28">
        <f t="shared" si="5"/>
        <v>73</v>
      </c>
    </row>
    <row r="49" spans="4:24" ht="15" x14ac:dyDescent="0.25">
      <c r="D49" s="53">
        <v>46</v>
      </c>
      <c r="E49" s="52" t="s">
        <v>85</v>
      </c>
      <c r="F49" s="54">
        <v>16</v>
      </c>
      <c r="G49" s="56">
        <v>1447.95</v>
      </c>
      <c r="H49" s="61">
        <v>0.50127666451195896</v>
      </c>
      <c r="I49" s="56">
        <v>215.21299999999999</v>
      </c>
      <c r="J49" s="59" t="s">
        <v>65</v>
      </c>
      <c r="K49" s="73" t="s">
        <v>238</v>
      </c>
      <c r="L49" s="79" t="s">
        <v>463</v>
      </c>
      <c r="M49" s="69" t="str">
        <f t="shared" si="0"/>
        <v>42114126833</v>
      </c>
      <c r="N49" s="77" t="s">
        <v>354</v>
      </c>
      <c r="O49" s="76">
        <f t="shared" si="1"/>
        <v>16</v>
      </c>
      <c r="P49" s="76">
        <f t="shared" si="2"/>
        <v>12</v>
      </c>
      <c r="Q49" s="77"/>
      <c r="R49" s="27">
        <v>0</v>
      </c>
      <c r="T49" s="22">
        <f t="shared" si="3"/>
        <v>0</v>
      </c>
      <c r="W49" s="49">
        <f t="shared" si="4"/>
        <v>50.13</v>
      </c>
      <c r="X49" s="28">
        <f t="shared" si="5"/>
        <v>215</v>
      </c>
    </row>
    <row r="50" spans="4:24" ht="15" x14ac:dyDescent="0.25">
      <c r="D50" s="53">
        <v>47</v>
      </c>
      <c r="E50" s="52" t="s">
        <v>99</v>
      </c>
      <c r="F50" s="54">
        <v>16</v>
      </c>
      <c r="G50" s="56">
        <v>1443.7874999999999</v>
      </c>
      <c r="H50" s="61">
        <v>0.49993131868131901</v>
      </c>
      <c r="I50" s="56">
        <v>163.24199999999999</v>
      </c>
      <c r="J50" s="59" t="s">
        <v>65</v>
      </c>
      <c r="K50" s="73" t="s">
        <v>239</v>
      </c>
      <c r="L50" s="79" t="s">
        <v>464</v>
      </c>
      <c r="M50" s="69" t="str">
        <f t="shared" si="0"/>
        <v>59914126248</v>
      </c>
      <c r="N50" s="77" t="s">
        <v>355</v>
      </c>
      <c r="O50" s="76">
        <f t="shared" si="1"/>
        <v>16</v>
      </c>
      <c r="P50" s="76">
        <f t="shared" si="2"/>
        <v>12</v>
      </c>
      <c r="Q50" s="77"/>
      <c r="R50" s="27">
        <v>0</v>
      </c>
      <c r="T50" s="22">
        <f t="shared" si="3"/>
        <v>0</v>
      </c>
      <c r="W50" s="49">
        <f t="shared" si="4"/>
        <v>49.99</v>
      </c>
      <c r="X50" s="28">
        <f t="shared" si="5"/>
        <v>163</v>
      </c>
    </row>
    <row r="51" spans="4:24" ht="15" x14ac:dyDescent="0.25">
      <c r="D51" s="53">
        <v>48</v>
      </c>
      <c r="E51" s="52" t="s">
        <v>11</v>
      </c>
      <c r="F51" s="54">
        <v>16</v>
      </c>
      <c r="G51" s="56">
        <v>562</v>
      </c>
      <c r="H51" s="61">
        <v>0.49794913863822798</v>
      </c>
      <c r="I51" s="56">
        <v>342.089</v>
      </c>
      <c r="J51" s="59" t="s">
        <v>9</v>
      </c>
      <c r="K51" s="73" t="s">
        <v>240</v>
      </c>
      <c r="L51" s="79" t="s">
        <v>465</v>
      </c>
      <c r="M51" s="69" t="str">
        <f t="shared" si="0"/>
        <v>78714126198</v>
      </c>
      <c r="N51" s="77" t="s">
        <v>356</v>
      </c>
      <c r="O51" s="76">
        <f t="shared" si="1"/>
        <v>16</v>
      </c>
      <c r="P51" s="76">
        <f t="shared" si="2"/>
        <v>12</v>
      </c>
      <c r="Q51" s="77"/>
      <c r="R51" s="27">
        <v>0</v>
      </c>
      <c r="T51" s="22">
        <f t="shared" si="3"/>
        <v>0</v>
      </c>
      <c r="W51" s="49">
        <f t="shared" si="4"/>
        <v>49.79</v>
      </c>
      <c r="X51" s="28">
        <f t="shared" si="5"/>
        <v>342</v>
      </c>
    </row>
    <row r="52" spans="4:24" ht="15" x14ac:dyDescent="0.25">
      <c r="D52" s="53">
        <v>49</v>
      </c>
      <c r="E52" s="52" t="s">
        <v>157</v>
      </c>
      <c r="F52" s="54">
        <v>16</v>
      </c>
      <c r="G52" s="56">
        <v>543</v>
      </c>
      <c r="H52" s="61">
        <v>0.49275362318840599</v>
      </c>
      <c r="I52" s="56">
        <v>293.60399999999998</v>
      </c>
      <c r="J52" s="59" t="s">
        <v>107</v>
      </c>
      <c r="K52" s="73" t="s">
        <v>255</v>
      </c>
      <c r="L52" s="79" t="s">
        <v>466</v>
      </c>
      <c r="M52" s="69" t="str">
        <f t="shared" si="0"/>
        <v>69514127147</v>
      </c>
      <c r="N52" s="77" t="s">
        <v>357</v>
      </c>
      <c r="O52" s="76">
        <f t="shared" si="1"/>
        <v>16</v>
      </c>
      <c r="P52" s="76">
        <f t="shared" si="2"/>
        <v>12</v>
      </c>
      <c r="Q52" s="77"/>
      <c r="R52" s="27">
        <v>0</v>
      </c>
      <c r="T52" s="22">
        <f t="shared" si="3"/>
        <v>0</v>
      </c>
      <c r="W52" s="49">
        <f t="shared" si="4"/>
        <v>49.28</v>
      </c>
      <c r="X52" s="28">
        <f t="shared" si="5"/>
        <v>294</v>
      </c>
    </row>
    <row r="53" spans="4:24" ht="15" x14ac:dyDescent="0.25">
      <c r="D53" s="53">
        <v>50</v>
      </c>
      <c r="E53" s="52" t="s">
        <v>97</v>
      </c>
      <c r="F53" s="54">
        <v>16</v>
      </c>
      <c r="G53" s="56">
        <v>1420.24583333333</v>
      </c>
      <c r="H53" s="61">
        <v>0.49232250592544702</v>
      </c>
      <c r="I53" s="56">
        <v>99.977999999999994</v>
      </c>
      <c r="J53" s="59" t="s">
        <v>65</v>
      </c>
      <c r="K53" s="73" t="s">
        <v>241</v>
      </c>
      <c r="L53" s="79" t="s">
        <v>467</v>
      </c>
      <c r="M53" s="69" t="str">
        <f t="shared" si="0"/>
        <v>69714126244</v>
      </c>
      <c r="N53" s="77" t="s">
        <v>358</v>
      </c>
      <c r="O53" s="76">
        <f t="shared" si="1"/>
        <v>16</v>
      </c>
      <c r="P53" s="76">
        <f t="shared" si="2"/>
        <v>12</v>
      </c>
      <c r="Q53" s="77"/>
      <c r="R53" s="27">
        <v>0</v>
      </c>
      <c r="T53" s="22">
        <f t="shared" si="3"/>
        <v>0</v>
      </c>
      <c r="W53" s="49">
        <f t="shared" si="4"/>
        <v>49.23</v>
      </c>
      <c r="X53" s="28">
        <f t="shared" si="5"/>
        <v>100</v>
      </c>
    </row>
    <row r="54" spans="4:24" ht="15" x14ac:dyDescent="0.25">
      <c r="D54" s="53">
        <v>51</v>
      </c>
      <c r="E54" s="52" t="s">
        <v>15</v>
      </c>
      <c r="F54" s="54">
        <v>16</v>
      </c>
      <c r="G54" s="56">
        <v>490</v>
      </c>
      <c r="H54" s="61">
        <v>0.47826086956521702</v>
      </c>
      <c r="I54" s="56">
        <v>167.262</v>
      </c>
      <c r="J54" s="59" t="s">
        <v>9</v>
      </c>
      <c r="K54" s="73" t="s">
        <v>242</v>
      </c>
      <c r="L54" s="79" t="s">
        <v>468</v>
      </c>
      <c r="M54" s="69" t="str">
        <f t="shared" si="0"/>
        <v>36214126955</v>
      </c>
      <c r="N54" s="77" t="s">
        <v>359</v>
      </c>
      <c r="O54" s="76">
        <f t="shared" si="1"/>
        <v>16</v>
      </c>
      <c r="P54" s="76">
        <f t="shared" si="2"/>
        <v>12</v>
      </c>
      <c r="Q54" s="77"/>
      <c r="R54" s="27">
        <v>0</v>
      </c>
      <c r="T54" s="22">
        <f t="shared" si="3"/>
        <v>0</v>
      </c>
      <c r="W54" s="49">
        <f t="shared" si="4"/>
        <v>47.83</v>
      </c>
      <c r="X54" s="28">
        <f t="shared" si="5"/>
        <v>167</v>
      </c>
    </row>
    <row r="55" spans="4:24" ht="15" x14ac:dyDescent="0.25">
      <c r="D55" s="53">
        <v>52</v>
      </c>
      <c r="E55" s="52" t="s">
        <v>122</v>
      </c>
      <c r="F55" s="54">
        <v>16</v>
      </c>
      <c r="G55" s="56">
        <v>488</v>
      </c>
      <c r="H55" s="61">
        <v>0.47771397320207798</v>
      </c>
      <c r="I55" s="56">
        <v>283.35199999999998</v>
      </c>
      <c r="J55" s="59" t="s">
        <v>107</v>
      </c>
      <c r="K55" s="73" t="s">
        <v>265</v>
      </c>
      <c r="L55" s="79" t="s">
        <v>469</v>
      </c>
      <c r="M55" s="69" t="str">
        <f t="shared" si="0"/>
        <v>33114126865</v>
      </c>
      <c r="N55" s="77" t="s">
        <v>360</v>
      </c>
      <c r="O55" s="76">
        <f t="shared" si="1"/>
        <v>16</v>
      </c>
      <c r="P55" s="76">
        <f t="shared" si="2"/>
        <v>12</v>
      </c>
      <c r="Q55" s="77"/>
      <c r="R55" s="27">
        <v>0</v>
      </c>
      <c r="T55" s="22">
        <f t="shared" si="3"/>
        <v>0</v>
      </c>
      <c r="W55" s="49">
        <f t="shared" si="4"/>
        <v>47.77</v>
      </c>
      <c r="X55" s="28">
        <f t="shared" si="5"/>
        <v>283</v>
      </c>
    </row>
    <row r="56" spans="4:24" ht="15" x14ac:dyDescent="0.25">
      <c r="D56" s="53">
        <v>53</v>
      </c>
      <c r="E56" s="52" t="s">
        <v>160</v>
      </c>
      <c r="F56" s="54">
        <v>16</v>
      </c>
      <c r="G56" s="56">
        <v>487</v>
      </c>
      <c r="H56" s="61">
        <v>0.47744052502050899</v>
      </c>
      <c r="I56" s="56">
        <v>211.38499999999999</v>
      </c>
      <c r="J56" s="59" t="s">
        <v>107</v>
      </c>
      <c r="K56" s="73" t="s">
        <v>262</v>
      </c>
      <c r="L56" s="79" t="s">
        <v>470</v>
      </c>
      <c r="M56" s="69" t="str">
        <f t="shared" si="0"/>
        <v>40214128564</v>
      </c>
      <c r="N56" s="77" t="s">
        <v>361</v>
      </c>
      <c r="O56" s="76">
        <f t="shared" si="1"/>
        <v>16</v>
      </c>
      <c r="P56" s="76">
        <f t="shared" si="2"/>
        <v>12</v>
      </c>
      <c r="Q56" s="77"/>
      <c r="R56" s="27">
        <v>0</v>
      </c>
      <c r="T56" s="22">
        <f t="shared" si="3"/>
        <v>0</v>
      </c>
      <c r="W56" s="49">
        <f t="shared" si="4"/>
        <v>47.74</v>
      </c>
      <c r="X56" s="28">
        <f t="shared" si="5"/>
        <v>211</v>
      </c>
    </row>
    <row r="57" spans="4:24" ht="15" x14ac:dyDescent="0.25">
      <c r="D57" s="53">
        <v>54</v>
      </c>
      <c r="E57" s="52" t="s">
        <v>96</v>
      </c>
      <c r="F57" s="54">
        <v>16</v>
      </c>
      <c r="G57" s="56">
        <v>1366.4041666666701</v>
      </c>
      <c r="H57" s="61">
        <v>0.47492054514113302</v>
      </c>
      <c r="I57" s="56">
        <v>157.755</v>
      </c>
      <c r="J57" s="59" t="s">
        <v>65</v>
      </c>
      <c r="K57" s="73" t="s">
        <v>243</v>
      </c>
      <c r="L57" s="79" t="s">
        <v>471</v>
      </c>
      <c r="M57" s="69" t="str">
        <f t="shared" si="0"/>
        <v>40514126736</v>
      </c>
      <c r="N57" s="77" t="s">
        <v>362</v>
      </c>
      <c r="O57" s="76">
        <f t="shared" si="1"/>
        <v>16</v>
      </c>
      <c r="P57" s="76">
        <f t="shared" si="2"/>
        <v>12</v>
      </c>
      <c r="Q57" s="77"/>
      <c r="R57" s="27">
        <v>0</v>
      </c>
      <c r="T57" s="22">
        <f t="shared" si="3"/>
        <v>0</v>
      </c>
      <c r="W57" s="49">
        <f t="shared" si="4"/>
        <v>47.49</v>
      </c>
      <c r="X57" s="28">
        <f t="shared" si="5"/>
        <v>158</v>
      </c>
    </row>
    <row r="58" spans="4:24" ht="15" x14ac:dyDescent="0.25">
      <c r="D58" s="53">
        <v>55</v>
      </c>
      <c r="E58" s="52" t="s">
        <v>22</v>
      </c>
      <c r="F58" s="54">
        <v>6</v>
      </c>
      <c r="G58" s="56">
        <v>470</v>
      </c>
      <c r="H58" s="61">
        <v>0.47279190593382597</v>
      </c>
      <c r="I58" s="56">
        <v>60.287999999999997</v>
      </c>
      <c r="J58" s="59" t="s">
        <v>9</v>
      </c>
      <c r="K58" s="73" t="s">
        <v>301</v>
      </c>
      <c r="L58" s="79" t="e">
        <v>#VALUE!</v>
      </c>
      <c r="M58" s="69" t="e">
        <f t="shared" si="0"/>
        <v>#VALUE!</v>
      </c>
      <c r="N58" s="70" t="s">
        <v>306</v>
      </c>
      <c r="O58" s="76">
        <f t="shared" si="1"/>
        <v>1</v>
      </c>
      <c r="P58" s="76" t="e">
        <f t="shared" si="2"/>
        <v>#VALUE!</v>
      </c>
      <c r="Q58" s="77"/>
      <c r="R58" s="27">
        <v>0</v>
      </c>
      <c r="T58" s="22">
        <f t="shared" si="3"/>
        <v>0</v>
      </c>
      <c r="W58" s="49">
        <f t="shared" si="4"/>
        <v>47.28</v>
      </c>
      <c r="X58" s="28">
        <f t="shared" si="5"/>
        <v>60</v>
      </c>
    </row>
    <row r="59" spans="4:24" ht="15" x14ac:dyDescent="0.25">
      <c r="D59" s="53">
        <v>56</v>
      </c>
      <c r="E59" s="52" t="s">
        <v>83</v>
      </c>
      <c r="F59" s="54">
        <v>16</v>
      </c>
      <c r="G59" s="56">
        <v>1356.67638888889</v>
      </c>
      <c r="H59" s="61">
        <v>0.471776466997055</v>
      </c>
      <c r="I59" s="56">
        <v>227.65700000000001</v>
      </c>
      <c r="J59" s="59" t="s">
        <v>65</v>
      </c>
      <c r="K59" s="73" t="s">
        <v>244</v>
      </c>
      <c r="L59" s="79" t="s">
        <v>472</v>
      </c>
      <c r="M59" s="69" t="str">
        <f t="shared" si="0"/>
        <v>13814126939</v>
      </c>
      <c r="N59" s="77" t="s">
        <v>363</v>
      </c>
      <c r="O59" s="76">
        <f t="shared" si="1"/>
        <v>16</v>
      </c>
      <c r="P59" s="76">
        <f t="shared" si="2"/>
        <v>12</v>
      </c>
      <c r="Q59" s="77"/>
      <c r="R59" s="27">
        <v>0</v>
      </c>
      <c r="T59" s="22">
        <f t="shared" si="3"/>
        <v>0</v>
      </c>
      <c r="W59" s="49">
        <f t="shared" si="4"/>
        <v>47.18</v>
      </c>
      <c r="X59" s="28">
        <f t="shared" si="5"/>
        <v>228</v>
      </c>
    </row>
    <row r="60" spans="4:24" ht="15" x14ac:dyDescent="0.25">
      <c r="D60" s="53">
        <v>57</v>
      </c>
      <c r="E60" s="52" t="s">
        <v>17</v>
      </c>
      <c r="F60" s="54">
        <v>8</v>
      </c>
      <c r="G60" s="56">
        <v>459</v>
      </c>
      <c r="H60" s="61">
        <v>0.46978397593656002</v>
      </c>
      <c r="I60" s="56">
        <v>56.05</v>
      </c>
      <c r="J60" s="59" t="s">
        <v>9</v>
      </c>
      <c r="K60" s="73" t="s">
        <v>301</v>
      </c>
      <c r="L60" s="79" t="e">
        <v>#VALUE!</v>
      </c>
      <c r="M60" s="69" t="e">
        <f t="shared" si="0"/>
        <v>#VALUE!</v>
      </c>
      <c r="N60" s="70" t="s">
        <v>306</v>
      </c>
      <c r="O60" s="76">
        <f t="shared" si="1"/>
        <v>1</v>
      </c>
      <c r="P60" s="76" t="e">
        <f t="shared" si="2"/>
        <v>#VALUE!</v>
      </c>
      <c r="Q60" s="77"/>
      <c r="R60" s="27">
        <v>0</v>
      </c>
      <c r="T60" s="22">
        <f t="shared" si="3"/>
        <v>0</v>
      </c>
      <c r="W60" s="49">
        <f t="shared" si="4"/>
        <v>46.98</v>
      </c>
      <c r="X60" s="28">
        <f t="shared" si="5"/>
        <v>56</v>
      </c>
    </row>
    <row r="61" spans="4:24" ht="15" x14ac:dyDescent="0.25">
      <c r="D61" s="53">
        <v>58</v>
      </c>
      <c r="E61" s="52" t="s">
        <v>32</v>
      </c>
      <c r="F61" s="54">
        <v>16</v>
      </c>
      <c r="G61" s="56">
        <v>439</v>
      </c>
      <c r="H61" s="61">
        <v>0.46431501230516797</v>
      </c>
      <c r="I61" s="56">
        <v>154.429</v>
      </c>
      <c r="J61" s="59" t="s">
        <v>9</v>
      </c>
      <c r="K61" s="73" t="s">
        <v>245</v>
      </c>
      <c r="L61" s="79" t="s">
        <v>473</v>
      </c>
      <c r="M61" s="69" t="str">
        <f t="shared" si="0"/>
        <v>55141294805</v>
      </c>
      <c r="N61" s="77" t="s">
        <v>364</v>
      </c>
      <c r="O61" s="76">
        <f t="shared" si="1"/>
        <v>16</v>
      </c>
      <c r="P61" s="76">
        <f t="shared" si="2"/>
        <v>12</v>
      </c>
      <c r="Q61" s="77"/>
      <c r="R61" s="27">
        <v>0</v>
      </c>
      <c r="T61" s="22">
        <f t="shared" si="3"/>
        <v>0</v>
      </c>
      <c r="W61" s="49">
        <f t="shared" si="4"/>
        <v>46.43</v>
      </c>
      <c r="X61" s="28">
        <f t="shared" si="5"/>
        <v>154</v>
      </c>
    </row>
    <row r="62" spans="4:24" ht="15" x14ac:dyDescent="0.25">
      <c r="D62" s="53">
        <v>59</v>
      </c>
      <c r="E62" s="52" t="s">
        <v>180</v>
      </c>
      <c r="F62" s="54">
        <v>16</v>
      </c>
      <c r="G62" s="56">
        <v>414.5</v>
      </c>
      <c r="H62" s="61">
        <v>0.457615531856713</v>
      </c>
      <c r="I62" s="56">
        <v>276.10399999999998</v>
      </c>
      <c r="J62" s="59" t="s">
        <v>107</v>
      </c>
      <c r="K62" s="73" t="s">
        <v>246</v>
      </c>
      <c r="L62" s="79" t="s">
        <v>474</v>
      </c>
      <c r="M62" s="69" t="str">
        <f t="shared" si="0"/>
        <v>96814135807</v>
      </c>
      <c r="N62" s="77" t="s">
        <v>365</v>
      </c>
      <c r="O62" s="76">
        <f t="shared" si="1"/>
        <v>16</v>
      </c>
      <c r="P62" s="76">
        <f t="shared" si="2"/>
        <v>12</v>
      </c>
      <c r="Q62" s="77"/>
      <c r="R62" s="27">
        <v>0</v>
      </c>
      <c r="T62" s="22">
        <f t="shared" si="3"/>
        <v>0</v>
      </c>
      <c r="W62" s="49">
        <f t="shared" si="4"/>
        <v>45.76</v>
      </c>
      <c r="X62" s="28">
        <f t="shared" si="5"/>
        <v>276</v>
      </c>
    </row>
    <row r="63" spans="4:24" ht="15" x14ac:dyDescent="0.25">
      <c r="D63" s="53">
        <v>60</v>
      </c>
      <c r="E63" s="52" t="s">
        <v>78</v>
      </c>
      <c r="F63" s="54">
        <v>16</v>
      </c>
      <c r="G63" s="56">
        <v>1312.75</v>
      </c>
      <c r="H63" s="61">
        <v>0.45757918552036198</v>
      </c>
      <c r="I63" s="56">
        <v>445.952</v>
      </c>
      <c r="J63" s="59" t="s">
        <v>65</v>
      </c>
      <c r="K63" s="73" t="s">
        <v>247</v>
      </c>
      <c r="L63" s="79" t="s">
        <v>475</v>
      </c>
      <c r="M63" s="69" t="str">
        <f t="shared" si="0"/>
        <v>2571412689</v>
      </c>
      <c r="N63" s="77" t="s">
        <v>366</v>
      </c>
      <c r="O63" s="76">
        <f t="shared" si="1"/>
        <v>15</v>
      </c>
      <c r="P63" s="76">
        <f t="shared" si="2"/>
        <v>11</v>
      </c>
      <c r="Q63" s="77"/>
      <c r="R63" s="27">
        <v>0</v>
      </c>
      <c r="T63" s="22">
        <f t="shared" si="3"/>
        <v>0</v>
      </c>
      <c r="W63" s="49">
        <f t="shared" si="4"/>
        <v>45.76</v>
      </c>
      <c r="X63" s="28">
        <f t="shared" si="5"/>
        <v>446</v>
      </c>
    </row>
    <row r="64" spans="4:24" ht="15" x14ac:dyDescent="0.25">
      <c r="D64" s="53">
        <v>61</v>
      </c>
      <c r="E64" s="52" t="s">
        <v>105</v>
      </c>
      <c r="F64" s="54">
        <v>16</v>
      </c>
      <c r="G64" s="56">
        <v>1311.9</v>
      </c>
      <c r="H64" s="61">
        <v>0.45730446024563698</v>
      </c>
      <c r="I64" s="56">
        <v>216.995</v>
      </c>
      <c r="J64" s="59" t="s">
        <v>65</v>
      </c>
      <c r="K64" s="73" t="s">
        <v>248</v>
      </c>
      <c r="L64" s="79" t="s">
        <v>476</v>
      </c>
      <c r="M64" s="69" t="str">
        <f t="shared" si="0"/>
        <v>2191412666</v>
      </c>
      <c r="N64" s="77" t="s">
        <v>367</v>
      </c>
      <c r="O64" s="76">
        <f t="shared" si="1"/>
        <v>15</v>
      </c>
      <c r="P64" s="76">
        <f t="shared" si="2"/>
        <v>11</v>
      </c>
      <c r="Q64" s="77"/>
      <c r="R64" s="27">
        <v>0</v>
      </c>
      <c r="T64" s="22">
        <f t="shared" si="3"/>
        <v>0</v>
      </c>
      <c r="W64" s="49">
        <f t="shared" si="4"/>
        <v>45.73</v>
      </c>
      <c r="X64" s="28">
        <f t="shared" si="5"/>
        <v>217</v>
      </c>
    </row>
    <row r="65" spans="4:24" ht="15" x14ac:dyDescent="0.25">
      <c r="D65" s="53">
        <v>62</v>
      </c>
      <c r="E65" s="52" t="s">
        <v>31</v>
      </c>
      <c r="F65" s="54">
        <v>5</v>
      </c>
      <c r="G65" s="56">
        <v>406</v>
      </c>
      <c r="H65" s="61">
        <v>0.45529122231337199</v>
      </c>
      <c r="I65" s="56">
        <v>44.74</v>
      </c>
      <c r="J65" s="59" t="s">
        <v>9</v>
      </c>
      <c r="K65" s="73" t="s">
        <v>301</v>
      </c>
      <c r="L65" s="79" t="e">
        <v>#VALUE!</v>
      </c>
      <c r="M65" s="69" t="e">
        <f t="shared" si="0"/>
        <v>#VALUE!</v>
      </c>
      <c r="N65" s="70" t="s">
        <v>306</v>
      </c>
      <c r="O65" s="76">
        <f t="shared" si="1"/>
        <v>1</v>
      </c>
      <c r="P65" s="76" t="e">
        <f t="shared" si="2"/>
        <v>#VALUE!</v>
      </c>
      <c r="Q65" s="77"/>
      <c r="R65" s="27">
        <v>0</v>
      </c>
      <c r="T65" s="22">
        <f t="shared" si="3"/>
        <v>0</v>
      </c>
      <c r="W65" s="49">
        <f t="shared" si="4"/>
        <v>45.53</v>
      </c>
      <c r="X65" s="28">
        <f t="shared" si="5"/>
        <v>45</v>
      </c>
    </row>
    <row r="66" spans="4:24" ht="15" x14ac:dyDescent="0.25">
      <c r="D66" s="53">
        <v>63</v>
      </c>
      <c r="E66" s="52" t="s">
        <v>93</v>
      </c>
      <c r="F66" s="54">
        <v>16</v>
      </c>
      <c r="G66" s="56">
        <v>1302.9000000000001</v>
      </c>
      <c r="H66" s="61">
        <v>0.454395604395604</v>
      </c>
      <c r="I66" s="56">
        <v>68.334000000000003</v>
      </c>
      <c r="J66" s="59" t="s">
        <v>65</v>
      </c>
      <c r="K66" s="73" t="s">
        <v>250</v>
      </c>
      <c r="L66" s="79" t="s">
        <v>477</v>
      </c>
      <c r="M66" s="69" t="str">
        <f t="shared" si="0"/>
        <v>47314127822</v>
      </c>
      <c r="N66" s="77" t="s">
        <v>368</v>
      </c>
      <c r="O66" s="76">
        <f t="shared" si="1"/>
        <v>16</v>
      </c>
      <c r="P66" s="76">
        <f t="shared" si="2"/>
        <v>12</v>
      </c>
      <c r="Q66" s="77"/>
      <c r="R66" s="27">
        <v>0</v>
      </c>
      <c r="S66" s="49">
        <v>25</v>
      </c>
      <c r="T66" s="22">
        <f t="shared" si="3"/>
        <v>25</v>
      </c>
      <c r="W66" s="49">
        <f t="shared" si="4"/>
        <v>45.44</v>
      </c>
      <c r="X66" s="28">
        <f t="shared" si="5"/>
        <v>68</v>
      </c>
    </row>
    <row r="67" spans="4:24" ht="15" x14ac:dyDescent="0.25">
      <c r="D67" s="53">
        <v>64</v>
      </c>
      <c r="E67" s="52" t="s">
        <v>60</v>
      </c>
      <c r="F67" s="54">
        <v>16</v>
      </c>
      <c r="G67" s="56">
        <v>396</v>
      </c>
      <c r="H67" s="61">
        <v>0.45255674049767602</v>
      </c>
      <c r="I67" s="56">
        <v>157.30099999999999</v>
      </c>
      <c r="J67" s="59" t="s">
        <v>9</v>
      </c>
      <c r="K67" s="73" t="s">
        <v>251</v>
      </c>
      <c r="L67" s="79" t="s">
        <v>478</v>
      </c>
      <c r="M67" s="69" t="str">
        <f t="shared" ref="L67:M130" si="6">MID(N67,1,P67-1)</f>
        <v>531141262</v>
      </c>
      <c r="N67" s="77" t="s">
        <v>369</v>
      </c>
      <c r="O67" s="76">
        <f t="shared" ref="O67:O130" si="7">LEN(N67)</f>
        <v>14</v>
      </c>
      <c r="P67" s="76">
        <f t="shared" ref="P67:P130" si="8">FIND("e",N67)</f>
        <v>10</v>
      </c>
      <c r="Q67" s="77"/>
      <c r="R67" s="27">
        <v>0</v>
      </c>
      <c r="T67" s="22">
        <f t="shared" ref="T67:T130" si="9">R67+S67</f>
        <v>0</v>
      </c>
      <c r="W67" s="49">
        <f t="shared" ref="W67:W130" si="10">ROUND(H67*100,2)</f>
        <v>45.26</v>
      </c>
      <c r="X67" s="28">
        <f t="shared" ref="X67:X130" si="11">ROUND(I67,0)</f>
        <v>157</v>
      </c>
    </row>
    <row r="68" spans="4:24" ht="15" x14ac:dyDescent="0.25">
      <c r="D68" s="53">
        <v>65</v>
      </c>
      <c r="E68" s="52" t="s">
        <v>10</v>
      </c>
      <c r="F68" s="54">
        <v>16</v>
      </c>
      <c r="G68" s="56">
        <v>386.75</v>
      </c>
      <c r="H68" s="61">
        <v>0.45002734481815698</v>
      </c>
      <c r="I68" s="56">
        <v>210.64400000000001</v>
      </c>
      <c r="J68" s="59" t="s">
        <v>9</v>
      </c>
      <c r="K68" s="73" t="s">
        <v>253</v>
      </c>
      <c r="L68" s="79" t="s">
        <v>479</v>
      </c>
      <c r="M68" s="69" t="str">
        <f t="shared" si="6"/>
        <v>48014126369</v>
      </c>
      <c r="N68" s="77" t="s">
        <v>370</v>
      </c>
      <c r="O68" s="76">
        <f t="shared" si="7"/>
        <v>16</v>
      </c>
      <c r="P68" s="76">
        <f t="shared" si="8"/>
        <v>12</v>
      </c>
      <c r="Q68" s="77"/>
      <c r="R68" s="27">
        <v>0</v>
      </c>
      <c r="T68" s="22">
        <f t="shared" si="9"/>
        <v>0</v>
      </c>
      <c r="W68" s="49">
        <f t="shared" si="10"/>
        <v>45</v>
      </c>
      <c r="X68" s="28">
        <f t="shared" si="11"/>
        <v>211</v>
      </c>
    </row>
    <row r="69" spans="4:24" ht="15" x14ac:dyDescent="0.25">
      <c r="D69" s="53">
        <v>65</v>
      </c>
      <c r="E69" s="52" t="s">
        <v>10</v>
      </c>
      <c r="F69" s="54">
        <v>16</v>
      </c>
      <c r="G69" s="56">
        <v>386.75</v>
      </c>
      <c r="H69" s="61">
        <v>0.45002734481815698</v>
      </c>
      <c r="I69" s="56">
        <v>210.64400000000001</v>
      </c>
      <c r="J69" s="59" t="s">
        <v>9</v>
      </c>
      <c r="K69" s="73" t="s">
        <v>252</v>
      </c>
      <c r="L69" s="79" t="s">
        <v>480</v>
      </c>
      <c r="M69" s="69" t="str">
        <f t="shared" si="6"/>
        <v>74814126369</v>
      </c>
      <c r="N69" s="77" t="s">
        <v>371</v>
      </c>
      <c r="O69" s="76">
        <f t="shared" si="7"/>
        <v>16</v>
      </c>
      <c r="P69" s="76">
        <f t="shared" si="8"/>
        <v>12</v>
      </c>
      <c r="Q69" s="77"/>
      <c r="R69" s="27">
        <v>0</v>
      </c>
      <c r="T69" s="22">
        <f t="shared" si="9"/>
        <v>0</v>
      </c>
      <c r="W69" s="49">
        <f t="shared" si="10"/>
        <v>45</v>
      </c>
      <c r="X69" s="28">
        <f t="shared" si="11"/>
        <v>211</v>
      </c>
    </row>
    <row r="70" spans="4:24" ht="15" x14ac:dyDescent="0.25">
      <c r="D70" s="53">
        <v>66</v>
      </c>
      <c r="E70" s="52" t="s">
        <v>179</v>
      </c>
      <c r="F70" s="54">
        <v>16</v>
      </c>
      <c r="G70" s="56">
        <v>1283.69583333333</v>
      </c>
      <c r="H70" s="61">
        <v>0.44818869855634602</v>
      </c>
      <c r="I70" s="56">
        <v>88.462000000000003</v>
      </c>
      <c r="J70" s="59" t="s">
        <v>65</v>
      </c>
      <c r="K70" s="73" t="s">
        <v>254</v>
      </c>
      <c r="L70" s="79" t="s">
        <v>481</v>
      </c>
      <c r="M70" s="69" t="str">
        <f t="shared" si="6"/>
        <v>57814133179</v>
      </c>
      <c r="N70" s="77" t="s">
        <v>372</v>
      </c>
      <c r="O70" s="76">
        <f t="shared" si="7"/>
        <v>16</v>
      </c>
      <c r="P70" s="76">
        <f t="shared" si="8"/>
        <v>12</v>
      </c>
      <c r="Q70" s="77"/>
      <c r="R70" s="27">
        <v>0</v>
      </c>
      <c r="T70" s="22">
        <f t="shared" si="9"/>
        <v>0</v>
      </c>
      <c r="W70" s="49">
        <f t="shared" si="10"/>
        <v>44.82</v>
      </c>
      <c r="X70" s="28">
        <f t="shared" si="11"/>
        <v>88</v>
      </c>
    </row>
    <row r="71" spans="4:24" ht="15" x14ac:dyDescent="0.25">
      <c r="D71" s="53">
        <v>67</v>
      </c>
      <c r="E71" s="52" t="s">
        <v>20</v>
      </c>
      <c r="F71" s="54">
        <v>9</v>
      </c>
      <c r="G71" s="56">
        <v>355</v>
      </c>
      <c r="H71" s="61">
        <v>0.441345365053322</v>
      </c>
      <c r="I71" s="56">
        <v>78.444000000000003</v>
      </c>
      <c r="J71" s="59" t="s">
        <v>9</v>
      </c>
      <c r="K71" s="73" t="s">
        <v>301</v>
      </c>
      <c r="L71" s="79" t="e">
        <v>#VALUE!</v>
      </c>
      <c r="M71" s="69" t="e">
        <f t="shared" si="6"/>
        <v>#VALUE!</v>
      </c>
      <c r="N71" s="70" t="s">
        <v>306</v>
      </c>
      <c r="O71" s="76">
        <f t="shared" si="7"/>
        <v>1</v>
      </c>
      <c r="P71" s="76" t="e">
        <f t="shared" si="8"/>
        <v>#VALUE!</v>
      </c>
      <c r="Q71" s="77"/>
      <c r="R71" s="27">
        <v>0</v>
      </c>
      <c r="T71" s="22">
        <f t="shared" si="9"/>
        <v>0</v>
      </c>
      <c r="W71" s="49">
        <f t="shared" si="10"/>
        <v>44.13</v>
      </c>
      <c r="X71" s="28">
        <f t="shared" si="11"/>
        <v>78</v>
      </c>
    </row>
    <row r="72" spans="4:24" ht="15" x14ac:dyDescent="0.25">
      <c r="D72" s="53">
        <v>68</v>
      </c>
      <c r="E72" s="52" t="s">
        <v>30</v>
      </c>
      <c r="F72" s="54">
        <v>4</v>
      </c>
      <c r="G72" s="56">
        <v>342</v>
      </c>
      <c r="H72" s="61">
        <v>0.43779053869291801</v>
      </c>
      <c r="I72" s="56">
        <v>20.673999999999999</v>
      </c>
      <c r="J72" s="59" t="s">
        <v>9</v>
      </c>
      <c r="K72" s="73" t="s">
        <v>301</v>
      </c>
      <c r="L72" s="79" t="e">
        <v>#VALUE!</v>
      </c>
      <c r="M72" s="69" t="e">
        <f t="shared" si="6"/>
        <v>#VALUE!</v>
      </c>
      <c r="N72" s="70" t="s">
        <v>306</v>
      </c>
      <c r="O72" s="76">
        <f t="shared" si="7"/>
        <v>1</v>
      </c>
      <c r="P72" s="76" t="e">
        <f t="shared" si="8"/>
        <v>#VALUE!</v>
      </c>
      <c r="Q72" s="77"/>
      <c r="R72" s="27">
        <v>0</v>
      </c>
      <c r="T72" s="22">
        <f t="shared" si="9"/>
        <v>0</v>
      </c>
      <c r="W72" s="49">
        <f t="shared" si="10"/>
        <v>43.78</v>
      </c>
      <c r="X72" s="28">
        <f t="shared" si="11"/>
        <v>21</v>
      </c>
    </row>
    <row r="73" spans="4:24" ht="15" x14ac:dyDescent="0.25">
      <c r="D73" s="53">
        <v>69</v>
      </c>
      <c r="E73" s="52" t="s">
        <v>88</v>
      </c>
      <c r="F73" s="54">
        <v>16</v>
      </c>
      <c r="G73" s="56">
        <v>1246.0138888888901</v>
      </c>
      <c r="H73" s="61">
        <v>0.436009660274366</v>
      </c>
      <c r="I73" s="56">
        <v>192.8</v>
      </c>
      <c r="J73" s="59" t="s">
        <v>65</v>
      </c>
      <c r="K73" s="73" t="s">
        <v>257</v>
      </c>
      <c r="L73" s="79" t="s">
        <v>482</v>
      </c>
      <c r="M73" s="69" t="str">
        <f t="shared" si="6"/>
        <v>60814126274</v>
      </c>
      <c r="N73" s="77" t="s">
        <v>373</v>
      </c>
      <c r="O73" s="76">
        <f t="shared" si="7"/>
        <v>16</v>
      </c>
      <c r="P73" s="76">
        <f t="shared" si="8"/>
        <v>12</v>
      </c>
      <c r="Q73" s="77"/>
      <c r="R73" s="27">
        <v>0</v>
      </c>
      <c r="T73" s="22">
        <f t="shared" si="9"/>
        <v>0</v>
      </c>
      <c r="W73" s="49">
        <f t="shared" si="10"/>
        <v>43.6</v>
      </c>
      <c r="X73" s="28">
        <f t="shared" si="11"/>
        <v>193</v>
      </c>
    </row>
    <row r="74" spans="4:24" ht="15" x14ac:dyDescent="0.25">
      <c r="D74" s="53">
        <v>69</v>
      </c>
      <c r="E74" s="52" t="s">
        <v>88</v>
      </c>
      <c r="F74" s="54">
        <v>16</v>
      </c>
      <c r="G74" s="56">
        <v>1246.0138888888901</v>
      </c>
      <c r="H74" s="61">
        <v>0.436009660274366</v>
      </c>
      <c r="I74" s="56">
        <v>192.8</v>
      </c>
      <c r="J74" s="59" t="s">
        <v>65</v>
      </c>
      <c r="K74" s="73" t="s">
        <v>256</v>
      </c>
      <c r="L74" s="79" t="s">
        <v>483</v>
      </c>
      <c r="M74" s="69" t="str">
        <f t="shared" si="6"/>
        <v>8291412627</v>
      </c>
      <c r="N74" s="77" t="s">
        <v>374</v>
      </c>
      <c r="O74" s="76">
        <f t="shared" si="7"/>
        <v>15</v>
      </c>
      <c r="P74" s="76">
        <f t="shared" si="8"/>
        <v>11</v>
      </c>
      <c r="Q74" s="77"/>
      <c r="R74" s="27">
        <v>0</v>
      </c>
      <c r="T74" s="22">
        <f t="shared" si="9"/>
        <v>0</v>
      </c>
      <c r="W74" s="49">
        <f t="shared" si="10"/>
        <v>43.6</v>
      </c>
      <c r="X74" s="28">
        <f t="shared" si="11"/>
        <v>193</v>
      </c>
    </row>
    <row r="75" spans="4:24" ht="15" x14ac:dyDescent="0.25">
      <c r="D75" s="53">
        <v>70</v>
      </c>
      <c r="E75" s="52" t="s">
        <v>92</v>
      </c>
      <c r="F75" s="54">
        <v>16</v>
      </c>
      <c r="G75" s="56">
        <v>1245.75416666667</v>
      </c>
      <c r="H75" s="61">
        <v>0.435925716440422</v>
      </c>
      <c r="I75" s="56">
        <v>158.80600000000001</v>
      </c>
      <c r="J75" s="59" t="s">
        <v>65</v>
      </c>
      <c r="K75" s="73" t="s">
        <v>258</v>
      </c>
      <c r="L75" s="79" t="s">
        <v>484</v>
      </c>
      <c r="M75" s="69" t="str">
        <f t="shared" si="6"/>
        <v>83614126612</v>
      </c>
      <c r="N75" s="77" t="s">
        <v>375</v>
      </c>
      <c r="O75" s="76">
        <f t="shared" si="7"/>
        <v>16</v>
      </c>
      <c r="P75" s="76">
        <f t="shared" si="8"/>
        <v>12</v>
      </c>
      <c r="Q75" s="77"/>
      <c r="R75" s="27">
        <v>0</v>
      </c>
      <c r="T75" s="22">
        <f t="shared" si="9"/>
        <v>0</v>
      </c>
      <c r="W75" s="49">
        <f t="shared" si="10"/>
        <v>43.59</v>
      </c>
      <c r="X75" s="28">
        <f t="shared" si="11"/>
        <v>159</v>
      </c>
    </row>
    <row r="76" spans="4:24" ht="15" x14ac:dyDescent="0.25">
      <c r="D76" s="53">
        <v>71</v>
      </c>
      <c r="E76" s="52" t="s">
        <v>28</v>
      </c>
      <c r="F76" s="54">
        <v>16</v>
      </c>
      <c r="G76" s="56">
        <v>325.75</v>
      </c>
      <c r="H76" s="61">
        <v>0.43334700574241197</v>
      </c>
      <c r="I76" s="56">
        <v>276.553</v>
      </c>
      <c r="J76" s="59" t="s">
        <v>9</v>
      </c>
      <c r="K76" s="73" t="s">
        <v>259</v>
      </c>
      <c r="L76" s="79" t="s">
        <v>485</v>
      </c>
      <c r="M76" s="69" t="str">
        <f t="shared" si="6"/>
        <v>89114126215</v>
      </c>
      <c r="N76" s="77" t="s">
        <v>376</v>
      </c>
      <c r="O76" s="76">
        <f t="shared" si="7"/>
        <v>16</v>
      </c>
      <c r="P76" s="76">
        <f t="shared" si="8"/>
        <v>12</v>
      </c>
      <c r="Q76" s="77"/>
      <c r="R76" s="27">
        <v>0</v>
      </c>
      <c r="T76" s="22">
        <f t="shared" si="9"/>
        <v>0</v>
      </c>
      <c r="W76" s="49">
        <f t="shared" si="10"/>
        <v>43.33</v>
      </c>
      <c r="X76" s="28">
        <f t="shared" si="11"/>
        <v>277</v>
      </c>
    </row>
    <row r="77" spans="4:24" ht="15" x14ac:dyDescent="0.25">
      <c r="D77" s="53">
        <v>72</v>
      </c>
      <c r="E77" s="52" t="s">
        <v>25</v>
      </c>
      <c r="F77" s="54">
        <v>16</v>
      </c>
      <c r="G77" s="56">
        <v>315.5</v>
      </c>
      <c r="H77" s="61">
        <v>0.430544161881323</v>
      </c>
      <c r="I77" s="56">
        <v>168.149</v>
      </c>
      <c r="J77" s="59" t="s">
        <v>9</v>
      </c>
      <c r="K77" s="73" t="s">
        <v>260</v>
      </c>
      <c r="L77" s="79" t="s">
        <v>486</v>
      </c>
      <c r="M77" s="69" t="str">
        <f t="shared" si="6"/>
        <v>66214129719</v>
      </c>
      <c r="N77" s="77" t="s">
        <v>377</v>
      </c>
      <c r="O77" s="76">
        <f t="shared" si="7"/>
        <v>16</v>
      </c>
      <c r="P77" s="76">
        <f t="shared" si="8"/>
        <v>12</v>
      </c>
      <c r="Q77" s="77"/>
      <c r="R77" s="27">
        <v>0</v>
      </c>
      <c r="T77" s="22">
        <f t="shared" si="9"/>
        <v>0</v>
      </c>
      <c r="W77" s="49">
        <f t="shared" si="10"/>
        <v>43.05</v>
      </c>
      <c r="X77" s="28">
        <f t="shared" si="11"/>
        <v>168</v>
      </c>
    </row>
    <row r="78" spans="4:24" ht="15" x14ac:dyDescent="0.25">
      <c r="D78" s="53">
        <v>73</v>
      </c>
      <c r="E78" s="52" t="s">
        <v>33</v>
      </c>
      <c r="F78" s="54">
        <v>16</v>
      </c>
      <c r="G78" s="56">
        <v>310</v>
      </c>
      <c r="H78" s="61">
        <v>0.42904019688269102</v>
      </c>
      <c r="I78" s="56">
        <v>207.71700000000001</v>
      </c>
      <c r="J78" s="59" t="s">
        <v>9</v>
      </c>
      <c r="K78" s="73" t="s">
        <v>261</v>
      </c>
      <c r="L78" s="79" t="s">
        <v>487</v>
      </c>
      <c r="M78" s="69" t="str">
        <f t="shared" si="6"/>
        <v>64614126309</v>
      </c>
      <c r="N78" s="77" t="s">
        <v>378</v>
      </c>
      <c r="O78" s="76">
        <f t="shared" si="7"/>
        <v>16</v>
      </c>
      <c r="P78" s="76">
        <f t="shared" si="8"/>
        <v>12</v>
      </c>
      <c r="Q78" s="77"/>
      <c r="R78" s="27">
        <v>0</v>
      </c>
      <c r="T78" s="22">
        <f t="shared" si="9"/>
        <v>0</v>
      </c>
      <c r="W78" s="49">
        <f t="shared" si="10"/>
        <v>42.9</v>
      </c>
      <c r="X78" s="28">
        <f t="shared" si="11"/>
        <v>208</v>
      </c>
    </row>
    <row r="79" spans="4:24" ht="15" x14ac:dyDescent="0.25">
      <c r="D79" s="53">
        <v>74</v>
      </c>
      <c r="E79" s="52" t="s">
        <v>128</v>
      </c>
      <c r="F79" s="54">
        <v>4</v>
      </c>
      <c r="G79" s="56">
        <v>308</v>
      </c>
      <c r="H79" s="61">
        <v>0.42849330051955198</v>
      </c>
      <c r="I79" s="56">
        <v>29.928999999999998</v>
      </c>
      <c r="J79" s="59" t="s">
        <v>107</v>
      </c>
      <c r="K79" s="73" t="s">
        <v>301</v>
      </c>
      <c r="L79" s="79" t="e">
        <v>#VALUE!</v>
      </c>
      <c r="M79" s="69" t="e">
        <f t="shared" si="6"/>
        <v>#VALUE!</v>
      </c>
      <c r="N79" s="70" t="s">
        <v>306</v>
      </c>
      <c r="O79" s="76">
        <f t="shared" si="7"/>
        <v>1</v>
      </c>
      <c r="P79" s="76" t="e">
        <f t="shared" si="8"/>
        <v>#VALUE!</v>
      </c>
      <c r="Q79" s="77"/>
      <c r="R79" s="27">
        <v>0</v>
      </c>
      <c r="T79" s="22">
        <f t="shared" si="9"/>
        <v>0</v>
      </c>
      <c r="W79" s="49">
        <f t="shared" si="10"/>
        <v>42.85</v>
      </c>
      <c r="X79" s="28">
        <f t="shared" si="11"/>
        <v>30</v>
      </c>
    </row>
    <row r="80" spans="4:24" ht="15" x14ac:dyDescent="0.25">
      <c r="D80" s="53">
        <v>75</v>
      </c>
      <c r="E80" s="52" t="s">
        <v>129</v>
      </c>
      <c r="F80" s="54">
        <v>4</v>
      </c>
      <c r="G80" s="56">
        <v>293</v>
      </c>
      <c r="H80" s="61">
        <v>0.424391577796008</v>
      </c>
      <c r="I80" s="56">
        <v>67.831000000000003</v>
      </c>
      <c r="J80" s="59" t="s">
        <v>107</v>
      </c>
      <c r="K80" s="73" t="s">
        <v>301</v>
      </c>
      <c r="L80" s="79" t="e">
        <v>#VALUE!</v>
      </c>
      <c r="M80" s="69" t="e">
        <f t="shared" si="6"/>
        <v>#VALUE!</v>
      </c>
      <c r="N80" s="70" t="s">
        <v>306</v>
      </c>
      <c r="O80" s="76">
        <f t="shared" si="7"/>
        <v>1</v>
      </c>
      <c r="P80" s="76" t="e">
        <f t="shared" si="8"/>
        <v>#VALUE!</v>
      </c>
      <c r="Q80" s="77"/>
      <c r="R80" s="27">
        <v>0</v>
      </c>
      <c r="T80" s="22">
        <f t="shared" si="9"/>
        <v>0</v>
      </c>
      <c r="W80" s="49">
        <f t="shared" si="10"/>
        <v>42.44</v>
      </c>
      <c r="X80" s="28">
        <f t="shared" si="11"/>
        <v>68</v>
      </c>
    </row>
    <row r="81" spans="4:24" ht="15" x14ac:dyDescent="0.25">
      <c r="D81" s="53">
        <v>76</v>
      </c>
      <c r="E81" s="52" t="s">
        <v>124</v>
      </c>
      <c r="F81" s="54">
        <v>5</v>
      </c>
      <c r="G81" s="56">
        <v>291</v>
      </c>
      <c r="H81" s="61">
        <v>0.42384468143286802</v>
      </c>
      <c r="I81" s="56">
        <v>73.828999999999994</v>
      </c>
      <c r="J81" s="59" t="s">
        <v>107</v>
      </c>
      <c r="K81" s="73" t="s">
        <v>301</v>
      </c>
      <c r="L81" s="79" t="e">
        <v>#VALUE!</v>
      </c>
      <c r="M81" s="69" t="e">
        <f t="shared" si="6"/>
        <v>#VALUE!</v>
      </c>
      <c r="N81" s="70" t="s">
        <v>306</v>
      </c>
      <c r="O81" s="76">
        <f t="shared" si="7"/>
        <v>1</v>
      </c>
      <c r="P81" s="76" t="e">
        <f t="shared" si="8"/>
        <v>#VALUE!</v>
      </c>
      <c r="Q81" s="77"/>
      <c r="R81" s="27">
        <v>0</v>
      </c>
      <c r="T81" s="22">
        <f t="shared" si="9"/>
        <v>0</v>
      </c>
      <c r="W81" s="49">
        <f t="shared" si="10"/>
        <v>42.38</v>
      </c>
      <c r="X81" s="28">
        <f t="shared" si="11"/>
        <v>74</v>
      </c>
    </row>
    <row r="82" spans="4:24" ht="15" x14ac:dyDescent="0.25">
      <c r="D82" s="53">
        <v>77</v>
      </c>
      <c r="E82" s="52" t="s">
        <v>27</v>
      </c>
      <c r="F82" s="54">
        <v>16</v>
      </c>
      <c r="G82" s="56">
        <v>287</v>
      </c>
      <c r="H82" s="61">
        <v>0.42275088870659</v>
      </c>
      <c r="I82" s="56">
        <v>224.46799999999999</v>
      </c>
      <c r="J82" s="59" t="s">
        <v>9</v>
      </c>
      <c r="K82" s="73" t="s">
        <v>263</v>
      </c>
      <c r="L82" s="79" t="s">
        <v>488</v>
      </c>
      <c r="M82" s="69" t="str">
        <f t="shared" si="6"/>
        <v>19614126214</v>
      </c>
      <c r="N82" s="77" t="s">
        <v>379</v>
      </c>
      <c r="O82" s="76">
        <f t="shared" si="7"/>
        <v>16</v>
      </c>
      <c r="P82" s="76">
        <f t="shared" si="8"/>
        <v>12</v>
      </c>
      <c r="Q82" s="77"/>
      <c r="R82" s="27">
        <v>0</v>
      </c>
      <c r="T82" s="22">
        <f t="shared" si="9"/>
        <v>0</v>
      </c>
      <c r="W82" s="49">
        <f t="shared" si="10"/>
        <v>42.28</v>
      </c>
      <c r="X82" s="28">
        <f t="shared" si="11"/>
        <v>224</v>
      </c>
    </row>
    <row r="83" spans="4:24" ht="15" x14ac:dyDescent="0.25">
      <c r="D83" s="53">
        <v>78</v>
      </c>
      <c r="E83" s="52" t="s">
        <v>170</v>
      </c>
      <c r="F83" s="54">
        <v>16</v>
      </c>
      <c r="G83" s="56">
        <v>287</v>
      </c>
      <c r="H83" s="61">
        <v>0.42275088870659</v>
      </c>
      <c r="I83" s="56">
        <v>269.87799999999999</v>
      </c>
      <c r="J83" s="59" t="s">
        <v>9</v>
      </c>
      <c r="K83" s="73" t="s">
        <v>264</v>
      </c>
      <c r="L83" s="79" t="s">
        <v>489</v>
      </c>
      <c r="M83" s="69" t="str">
        <f t="shared" si="6"/>
        <v>95814133705</v>
      </c>
      <c r="N83" s="77" t="s">
        <v>380</v>
      </c>
      <c r="O83" s="76">
        <f t="shared" si="7"/>
        <v>16</v>
      </c>
      <c r="P83" s="76">
        <f t="shared" si="8"/>
        <v>12</v>
      </c>
      <c r="Q83" s="77"/>
      <c r="R83" s="27">
        <v>0</v>
      </c>
      <c r="T83" s="22">
        <f t="shared" si="9"/>
        <v>0</v>
      </c>
      <c r="W83" s="49">
        <f t="shared" si="10"/>
        <v>42.28</v>
      </c>
      <c r="X83" s="28">
        <f t="shared" si="11"/>
        <v>270</v>
      </c>
    </row>
    <row r="84" spans="4:24" ht="15" x14ac:dyDescent="0.25">
      <c r="D84" s="53">
        <v>79</v>
      </c>
      <c r="E84" s="52" t="s">
        <v>101</v>
      </c>
      <c r="F84" s="54">
        <v>16</v>
      </c>
      <c r="G84" s="56">
        <v>1196.55</v>
      </c>
      <c r="H84" s="61">
        <v>0.42002262443438898</v>
      </c>
      <c r="I84" s="56">
        <v>89.010999999999996</v>
      </c>
      <c r="J84" s="59" t="s">
        <v>65</v>
      </c>
      <c r="K84" s="73" t="s">
        <v>266</v>
      </c>
      <c r="L84" s="79" t="s">
        <v>490</v>
      </c>
      <c r="M84" s="69" t="str">
        <f t="shared" si="6"/>
        <v>77114126221</v>
      </c>
      <c r="N84" s="77" t="s">
        <v>381</v>
      </c>
      <c r="O84" s="76">
        <f t="shared" si="7"/>
        <v>16</v>
      </c>
      <c r="P84" s="76">
        <f t="shared" si="8"/>
        <v>12</v>
      </c>
      <c r="Q84" s="77"/>
      <c r="R84" s="27">
        <v>0</v>
      </c>
      <c r="T84" s="22">
        <f t="shared" si="9"/>
        <v>0</v>
      </c>
      <c r="W84" s="49">
        <f t="shared" si="10"/>
        <v>42</v>
      </c>
      <c r="X84" s="28">
        <f t="shared" si="11"/>
        <v>89</v>
      </c>
    </row>
    <row r="85" spans="4:24" ht="15" x14ac:dyDescent="0.25">
      <c r="D85" s="53">
        <v>80</v>
      </c>
      <c r="E85" s="52" t="s">
        <v>36</v>
      </c>
      <c r="F85" s="54">
        <v>5</v>
      </c>
      <c r="G85" s="56">
        <v>262</v>
      </c>
      <c r="H85" s="61">
        <v>0.41591468416735</v>
      </c>
      <c r="I85" s="56">
        <v>46.777000000000001</v>
      </c>
      <c r="J85" s="59" t="s">
        <v>9</v>
      </c>
      <c r="K85" s="73" t="s">
        <v>301</v>
      </c>
      <c r="L85" s="79" t="e">
        <v>#VALUE!</v>
      </c>
      <c r="M85" s="69" t="e">
        <f t="shared" si="6"/>
        <v>#VALUE!</v>
      </c>
      <c r="N85" s="70" t="s">
        <v>306</v>
      </c>
      <c r="O85" s="76">
        <f t="shared" si="7"/>
        <v>1</v>
      </c>
      <c r="P85" s="76" t="e">
        <f t="shared" si="8"/>
        <v>#VALUE!</v>
      </c>
      <c r="Q85" s="77"/>
      <c r="R85" s="27">
        <v>0</v>
      </c>
      <c r="T85" s="22">
        <f t="shared" si="9"/>
        <v>0</v>
      </c>
      <c r="W85" s="49">
        <f t="shared" si="10"/>
        <v>41.59</v>
      </c>
      <c r="X85" s="28">
        <f t="shared" si="11"/>
        <v>47</v>
      </c>
    </row>
    <row r="86" spans="4:24" ht="15" x14ac:dyDescent="0.25">
      <c r="D86" s="53">
        <v>81</v>
      </c>
      <c r="E86" s="52" t="s">
        <v>183</v>
      </c>
      <c r="F86" s="54">
        <v>16</v>
      </c>
      <c r="G86" s="56">
        <v>262</v>
      </c>
      <c r="H86" s="61">
        <v>0.41591468416735</v>
      </c>
      <c r="I86" s="56">
        <v>228.66200000000001</v>
      </c>
      <c r="J86" s="59" t="s">
        <v>107</v>
      </c>
      <c r="K86" s="73" t="s">
        <v>267</v>
      </c>
      <c r="L86" s="79" t="s">
        <v>491</v>
      </c>
      <c r="M86" s="69" t="str">
        <f t="shared" si="6"/>
        <v>86114149393</v>
      </c>
      <c r="N86" s="77" t="s">
        <v>382</v>
      </c>
      <c r="O86" s="76">
        <f t="shared" si="7"/>
        <v>16</v>
      </c>
      <c r="P86" s="76">
        <f t="shared" si="8"/>
        <v>12</v>
      </c>
      <c r="Q86" s="77"/>
      <c r="R86" s="27">
        <v>0</v>
      </c>
      <c r="T86" s="22">
        <f t="shared" si="9"/>
        <v>0</v>
      </c>
      <c r="W86" s="49">
        <f t="shared" si="10"/>
        <v>41.59</v>
      </c>
      <c r="X86" s="28">
        <f t="shared" si="11"/>
        <v>229</v>
      </c>
    </row>
    <row r="87" spans="4:24" ht="15" x14ac:dyDescent="0.25">
      <c r="D87" s="53">
        <v>82</v>
      </c>
      <c r="E87" s="52" t="s">
        <v>113</v>
      </c>
      <c r="F87" s="54">
        <v>16</v>
      </c>
      <c r="G87" s="56">
        <v>262</v>
      </c>
      <c r="H87" s="61">
        <v>0.41591468416735</v>
      </c>
      <c r="I87" s="56">
        <v>255.87899999999999</v>
      </c>
      <c r="J87" s="59" t="s">
        <v>107</v>
      </c>
      <c r="K87" s="73" t="s">
        <v>249</v>
      </c>
      <c r="L87" s="79" t="s">
        <v>492</v>
      </c>
      <c r="M87" s="69" t="str">
        <f t="shared" si="6"/>
        <v>81412625624</v>
      </c>
      <c r="N87" s="77" t="s">
        <v>383</v>
      </c>
      <c r="O87" s="76">
        <f t="shared" si="7"/>
        <v>16</v>
      </c>
      <c r="P87" s="76">
        <f t="shared" si="8"/>
        <v>12</v>
      </c>
      <c r="Q87" s="77"/>
      <c r="R87" s="27">
        <v>0</v>
      </c>
      <c r="T87" s="22">
        <f t="shared" si="9"/>
        <v>0</v>
      </c>
      <c r="W87" s="49">
        <f t="shared" si="10"/>
        <v>41.59</v>
      </c>
      <c r="X87" s="28">
        <f t="shared" si="11"/>
        <v>256</v>
      </c>
    </row>
    <row r="88" spans="4:24" ht="15" x14ac:dyDescent="0.25">
      <c r="D88" s="53">
        <v>83</v>
      </c>
      <c r="E88" s="52" t="s">
        <v>150</v>
      </c>
      <c r="F88" s="54">
        <v>16</v>
      </c>
      <c r="G88" s="56">
        <v>258</v>
      </c>
      <c r="H88" s="61">
        <v>0.41482089144107198</v>
      </c>
      <c r="I88" s="56">
        <v>192.66200000000001</v>
      </c>
      <c r="J88" s="59" t="s">
        <v>107</v>
      </c>
      <c r="K88" s="73" t="s">
        <v>285</v>
      </c>
      <c r="L88" s="79" t="s">
        <v>493</v>
      </c>
      <c r="M88" s="69" t="str">
        <f t="shared" si="6"/>
        <v>86914126901</v>
      </c>
      <c r="N88" s="77" t="s">
        <v>384</v>
      </c>
      <c r="O88" s="76">
        <f t="shared" si="7"/>
        <v>16</v>
      </c>
      <c r="P88" s="76">
        <f t="shared" si="8"/>
        <v>12</v>
      </c>
      <c r="Q88" s="77"/>
      <c r="R88" s="27">
        <v>0</v>
      </c>
      <c r="T88" s="22">
        <f t="shared" si="9"/>
        <v>0</v>
      </c>
      <c r="W88" s="49">
        <f t="shared" si="10"/>
        <v>41.48</v>
      </c>
      <c r="X88" s="28">
        <f t="shared" si="11"/>
        <v>193</v>
      </c>
    </row>
    <row r="89" spans="4:24" ht="15" x14ac:dyDescent="0.25">
      <c r="D89" s="53">
        <v>84</v>
      </c>
      <c r="E89" s="52" t="s">
        <v>26</v>
      </c>
      <c r="F89" s="54">
        <v>16</v>
      </c>
      <c r="G89" s="56">
        <v>254.75</v>
      </c>
      <c r="H89" s="61">
        <v>0.413932184850971</v>
      </c>
      <c r="I89" s="56">
        <v>117.35899999999999</v>
      </c>
      <c r="J89" s="59" t="s">
        <v>9</v>
      </c>
      <c r="K89" s="73" t="s">
        <v>269</v>
      </c>
      <c r="L89" s="79" t="s">
        <v>494</v>
      </c>
      <c r="M89" s="69" t="str">
        <f t="shared" si="6"/>
        <v>56014127819</v>
      </c>
      <c r="N89" s="77" t="s">
        <v>385</v>
      </c>
      <c r="O89" s="76">
        <f t="shared" si="7"/>
        <v>16</v>
      </c>
      <c r="P89" s="76">
        <f t="shared" si="8"/>
        <v>12</v>
      </c>
      <c r="Q89" s="77"/>
      <c r="R89" s="27">
        <v>0</v>
      </c>
      <c r="T89" s="22">
        <f t="shared" si="9"/>
        <v>0</v>
      </c>
      <c r="W89" s="49">
        <f t="shared" si="10"/>
        <v>41.39</v>
      </c>
      <c r="X89" s="28">
        <f t="shared" si="11"/>
        <v>117</v>
      </c>
    </row>
    <row r="90" spans="4:24" ht="15" x14ac:dyDescent="0.25">
      <c r="D90" s="53">
        <v>85</v>
      </c>
      <c r="E90" s="52" t="s">
        <v>37</v>
      </c>
      <c r="F90" s="54">
        <v>4</v>
      </c>
      <c r="G90" s="56">
        <v>253</v>
      </c>
      <c r="H90" s="61">
        <v>0.41345365053322403</v>
      </c>
      <c r="I90" s="56">
        <v>32.706000000000003</v>
      </c>
      <c r="J90" s="59" t="s">
        <v>9</v>
      </c>
      <c r="K90" s="73" t="s">
        <v>301</v>
      </c>
      <c r="L90" s="79" t="e">
        <v>#VALUE!</v>
      </c>
      <c r="M90" s="69" t="e">
        <f t="shared" si="6"/>
        <v>#VALUE!</v>
      </c>
      <c r="N90" s="70" t="s">
        <v>306</v>
      </c>
      <c r="O90" s="76">
        <f t="shared" si="7"/>
        <v>1</v>
      </c>
      <c r="P90" s="76" t="e">
        <f t="shared" si="8"/>
        <v>#VALUE!</v>
      </c>
      <c r="Q90" s="77"/>
      <c r="R90" s="27">
        <v>0</v>
      </c>
      <c r="T90" s="22">
        <f t="shared" si="9"/>
        <v>0</v>
      </c>
      <c r="W90" s="49">
        <f t="shared" si="10"/>
        <v>41.35</v>
      </c>
      <c r="X90" s="28">
        <f t="shared" si="11"/>
        <v>33</v>
      </c>
    </row>
    <row r="91" spans="4:24" ht="15" x14ac:dyDescent="0.25">
      <c r="D91" s="53">
        <v>86</v>
      </c>
      <c r="E91" s="52" t="s">
        <v>131</v>
      </c>
      <c r="F91" s="54">
        <v>4</v>
      </c>
      <c r="G91" s="56">
        <v>247</v>
      </c>
      <c r="H91" s="61">
        <v>0.41181296144380602</v>
      </c>
      <c r="I91" s="56">
        <v>45.313000000000002</v>
      </c>
      <c r="J91" s="59" t="s">
        <v>107</v>
      </c>
      <c r="K91" s="73" t="s">
        <v>301</v>
      </c>
      <c r="L91" s="79" t="e">
        <v>#VALUE!</v>
      </c>
      <c r="M91" s="69" t="e">
        <f t="shared" si="6"/>
        <v>#VALUE!</v>
      </c>
      <c r="N91" s="70" t="s">
        <v>306</v>
      </c>
      <c r="O91" s="76">
        <f t="shared" si="7"/>
        <v>1</v>
      </c>
      <c r="P91" s="76" t="e">
        <f t="shared" si="8"/>
        <v>#VALUE!</v>
      </c>
      <c r="Q91" s="77"/>
      <c r="R91" s="27">
        <v>0</v>
      </c>
      <c r="T91" s="22">
        <f t="shared" si="9"/>
        <v>0</v>
      </c>
      <c r="W91" s="49">
        <f t="shared" si="10"/>
        <v>41.18</v>
      </c>
      <c r="X91" s="28">
        <f t="shared" si="11"/>
        <v>45</v>
      </c>
    </row>
    <row r="92" spans="4:24" ht="15" x14ac:dyDescent="0.25">
      <c r="D92" s="53">
        <v>87</v>
      </c>
      <c r="E92" s="52" t="s">
        <v>172</v>
      </c>
      <c r="F92" s="54">
        <v>5</v>
      </c>
      <c r="G92" s="56">
        <v>246</v>
      </c>
      <c r="H92" s="61">
        <v>0.41153951326223698</v>
      </c>
      <c r="I92" s="56">
        <v>68.138000000000005</v>
      </c>
      <c r="J92" s="59" t="s">
        <v>9</v>
      </c>
      <c r="K92" s="73" t="s">
        <v>301</v>
      </c>
      <c r="L92" s="79" t="e">
        <v>#VALUE!</v>
      </c>
      <c r="M92" s="69" t="e">
        <f t="shared" si="6"/>
        <v>#VALUE!</v>
      </c>
      <c r="N92" s="70" t="s">
        <v>306</v>
      </c>
      <c r="O92" s="76">
        <f t="shared" si="7"/>
        <v>1</v>
      </c>
      <c r="P92" s="76" t="e">
        <f t="shared" si="8"/>
        <v>#VALUE!</v>
      </c>
      <c r="Q92" s="77"/>
      <c r="R92" s="27">
        <v>0</v>
      </c>
      <c r="T92" s="22">
        <f t="shared" si="9"/>
        <v>0</v>
      </c>
      <c r="W92" s="49">
        <f t="shared" si="10"/>
        <v>41.15</v>
      </c>
      <c r="X92" s="28">
        <f t="shared" si="11"/>
        <v>68</v>
      </c>
    </row>
    <row r="93" spans="4:24" ht="15" x14ac:dyDescent="0.25">
      <c r="D93" s="53">
        <v>88</v>
      </c>
      <c r="E93" s="52" t="s">
        <v>189</v>
      </c>
      <c r="F93" s="54">
        <v>10</v>
      </c>
      <c r="G93" s="56">
        <v>245</v>
      </c>
      <c r="H93" s="61">
        <v>0.41126606508066699</v>
      </c>
      <c r="I93" s="56">
        <v>155.726</v>
      </c>
      <c r="J93" s="59" t="s">
        <v>107</v>
      </c>
      <c r="K93" s="73" t="s">
        <v>301</v>
      </c>
      <c r="L93" s="79" t="e">
        <v>#VALUE!</v>
      </c>
      <c r="M93" s="69" t="e">
        <f t="shared" si="6"/>
        <v>#VALUE!</v>
      </c>
      <c r="N93" s="70" t="s">
        <v>306</v>
      </c>
      <c r="O93" s="76">
        <f t="shared" si="7"/>
        <v>1</v>
      </c>
      <c r="P93" s="76" t="e">
        <f t="shared" si="8"/>
        <v>#VALUE!</v>
      </c>
      <c r="Q93" s="77"/>
      <c r="R93" s="27">
        <v>0</v>
      </c>
      <c r="T93" s="22">
        <f t="shared" si="9"/>
        <v>0</v>
      </c>
      <c r="W93" s="49">
        <f t="shared" si="10"/>
        <v>41.13</v>
      </c>
      <c r="X93" s="28">
        <f t="shared" si="11"/>
        <v>156</v>
      </c>
    </row>
    <row r="94" spans="4:24" ht="15" x14ac:dyDescent="0.25">
      <c r="D94" s="53">
        <v>89</v>
      </c>
      <c r="E94" s="52" t="s">
        <v>131</v>
      </c>
      <c r="F94" s="54">
        <v>4</v>
      </c>
      <c r="G94" s="56">
        <v>232</v>
      </c>
      <c r="H94" s="61">
        <v>0.40771123872026199</v>
      </c>
      <c r="I94" s="56">
        <v>53.783000000000001</v>
      </c>
      <c r="J94" s="59" t="s">
        <v>107</v>
      </c>
      <c r="K94" s="73" t="s">
        <v>301</v>
      </c>
      <c r="L94" s="79" t="e">
        <v>#VALUE!</v>
      </c>
      <c r="M94" s="69" t="e">
        <f t="shared" si="6"/>
        <v>#VALUE!</v>
      </c>
      <c r="N94" s="70" t="s">
        <v>306</v>
      </c>
      <c r="O94" s="76">
        <f t="shared" si="7"/>
        <v>1</v>
      </c>
      <c r="P94" s="76" t="e">
        <f t="shared" si="8"/>
        <v>#VALUE!</v>
      </c>
      <c r="Q94" s="77"/>
      <c r="R94" s="27">
        <v>0</v>
      </c>
      <c r="T94" s="22">
        <f t="shared" si="9"/>
        <v>0</v>
      </c>
      <c r="W94" s="49">
        <f t="shared" si="10"/>
        <v>40.770000000000003</v>
      </c>
      <c r="X94" s="28">
        <f t="shared" si="11"/>
        <v>54</v>
      </c>
    </row>
    <row r="95" spans="4:24" ht="15" x14ac:dyDescent="0.25">
      <c r="D95" s="53">
        <v>90</v>
      </c>
      <c r="E95" s="52" t="s">
        <v>34</v>
      </c>
      <c r="F95" s="54">
        <v>4</v>
      </c>
      <c r="G95" s="56">
        <v>230</v>
      </c>
      <c r="H95" s="61">
        <v>0.40716434235712301</v>
      </c>
      <c r="I95" s="56">
        <v>33.75</v>
      </c>
      <c r="J95" s="59" t="s">
        <v>9</v>
      </c>
      <c r="K95" s="73" t="s">
        <v>301</v>
      </c>
      <c r="L95" s="79" t="e">
        <v>#VALUE!</v>
      </c>
      <c r="M95" s="69" t="e">
        <f t="shared" si="6"/>
        <v>#VALUE!</v>
      </c>
      <c r="N95" s="70" t="s">
        <v>306</v>
      </c>
      <c r="O95" s="76">
        <f t="shared" si="7"/>
        <v>1</v>
      </c>
      <c r="P95" s="76" t="e">
        <f t="shared" si="8"/>
        <v>#VALUE!</v>
      </c>
      <c r="Q95" s="77"/>
      <c r="R95" s="27">
        <v>0</v>
      </c>
      <c r="T95" s="22">
        <f t="shared" si="9"/>
        <v>0</v>
      </c>
      <c r="W95" s="49">
        <f t="shared" si="10"/>
        <v>40.72</v>
      </c>
      <c r="X95" s="28">
        <f t="shared" si="11"/>
        <v>34</v>
      </c>
    </row>
    <row r="96" spans="4:24" ht="15" x14ac:dyDescent="0.25">
      <c r="D96" s="53">
        <v>91</v>
      </c>
      <c r="E96" s="52" t="s">
        <v>35</v>
      </c>
      <c r="F96" s="54">
        <v>4</v>
      </c>
      <c r="G96" s="56">
        <v>229</v>
      </c>
      <c r="H96" s="61">
        <v>0.40689089417555402</v>
      </c>
      <c r="I96" s="56">
        <v>21.242999999999999</v>
      </c>
      <c r="J96" s="59" t="s">
        <v>9</v>
      </c>
      <c r="K96" s="73" t="s">
        <v>301</v>
      </c>
      <c r="L96" s="79" t="e">
        <v>#VALUE!</v>
      </c>
      <c r="M96" s="69" t="e">
        <f t="shared" si="6"/>
        <v>#VALUE!</v>
      </c>
      <c r="N96" s="70" t="s">
        <v>306</v>
      </c>
      <c r="O96" s="76">
        <f t="shared" si="7"/>
        <v>1</v>
      </c>
      <c r="P96" s="76" t="e">
        <f t="shared" si="8"/>
        <v>#VALUE!</v>
      </c>
      <c r="Q96" s="77"/>
      <c r="R96" s="27">
        <v>0</v>
      </c>
      <c r="T96" s="22">
        <f t="shared" si="9"/>
        <v>0</v>
      </c>
      <c r="W96" s="49">
        <f t="shared" si="10"/>
        <v>40.69</v>
      </c>
      <c r="X96" s="28">
        <f t="shared" si="11"/>
        <v>21</v>
      </c>
    </row>
    <row r="97" spans="4:24" ht="15" x14ac:dyDescent="0.25">
      <c r="D97" s="53">
        <v>92</v>
      </c>
      <c r="E97" s="52" t="s">
        <v>120</v>
      </c>
      <c r="F97" s="54">
        <v>16</v>
      </c>
      <c r="G97" s="56">
        <v>228.5</v>
      </c>
      <c r="H97" s="61">
        <v>0.406754170084769</v>
      </c>
      <c r="I97" s="56">
        <v>516.67100000000005</v>
      </c>
      <c r="J97" s="59" t="s">
        <v>107</v>
      </c>
      <c r="K97" s="73" t="s">
        <v>270</v>
      </c>
      <c r="L97" s="79" t="s">
        <v>495</v>
      </c>
      <c r="M97" s="69" t="str">
        <f t="shared" si="6"/>
        <v>38514126717</v>
      </c>
      <c r="N97" s="77" t="s">
        <v>386</v>
      </c>
      <c r="O97" s="76">
        <f t="shared" si="7"/>
        <v>16</v>
      </c>
      <c r="P97" s="76">
        <f t="shared" si="8"/>
        <v>12</v>
      </c>
      <c r="Q97" s="77"/>
      <c r="R97" s="27">
        <v>0</v>
      </c>
      <c r="T97" s="22">
        <f t="shared" si="9"/>
        <v>0</v>
      </c>
      <c r="W97" s="49">
        <f t="shared" si="10"/>
        <v>40.68</v>
      </c>
      <c r="X97" s="28">
        <f t="shared" si="11"/>
        <v>517</v>
      </c>
    </row>
    <row r="98" spans="4:24" ht="15" x14ac:dyDescent="0.25">
      <c r="D98" s="53">
        <v>93</v>
      </c>
      <c r="E98" s="52" t="s">
        <v>38</v>
      </c>
      <c r="F98" s="54">
        <v>16</v>
      </c>
      <c r="G98" s="56">
        <v>207</v>
      </c>
      <c r="H98" s="61">
        <v>0.40087503418102299</v>
      </c>
      <c r="I98" s="56">
        <v>216.14699999999999</v>
      </c>
      <c r="J98" s="59" t="s">
        <v>9</v>
      </c>
      <c r="K98" s="73" t="s">
        <v>271</v>
      </c>
      <c r="L98" s="79" t="s">
        <v>496</v>
      </c>
      <c r="M98" s="69" t="str">
        <f t="shared" si="6"/>
        <v>30414128814</v>
      </c>
      <c r="N98" s="77" t="s">
        <v>387</v>
      </c>
      <c r="O98" s="76">
        <f t="shared" si="7"/>
        <v>16</v>
      </c>
      <c r="P98" s="76">
        <f t="shared" si="8"/>
        <v>12</v>
      </c>
      <c r="Q98" s="77"/>
      <c r="R98" s="27">
        <v>0</v>
      </c>
      <c r="T98" s="22">
        <f t="shared" si="9"/>
        <v>0</v>
      </c>
      <c r="W98" s="49">
        <f t="shared" si="10"/>
        <v>40.090000000000003</v>
      </c>
      <c r="X98" s="28">
        <f t="shared" si="11"/>
        <v>216</v>
      </c>
    </row>
    <row r="99" spans="4:24" ht="15" x14ac:dyDescent="0.25">
      <c r="D99" s="53">
        <v>94</v>
      </c>
      <c r="E99" s="52" t="s">
        <v>158</v>
      </c>
      <c r="F99" s="54">
        <v>16</v>
      </c>
      <c r="G99" s="56">
        <v>197.5</v>
      </c>
      <c r="H99" s="61">
        <v>0.39827727645611199</v>
      </c>
      <c r="I99" s="56">
        <v>475.70699999999999</v>
      </c>
      <c r="J99" s="59" t="s">
        <v>107</v>
      </c>
      <c r="K99" s="73" t="s">
        <v>268</v>
      </c>
      <c r="L99" s="79" t="s">
        <v>497</v>
      </c>
      <c r="M99" s="69" t="str">
        <f t="shared" si="6"/>
        <v>44314126905</v>
      </c>
      <c r="N99" s="77" t="s">
        <v>388</v>
      </c>
      <c r="O99" s="76">
        <f t="shared" si="7"/>
        <v>16</v>
      </c>
      <c r="P99" s="76">
        <f t="shared" si="8"/>
        <v>12</v>
      </c>
      <c r="Q99" s="77"/>
      <c r="R99" s="27">
        <v>0</v>
      </c>
      <c r="T99" s="22">
        <f t="shared" si="9"/>
        <v>0</v>
      </c>
      <c r="W99" s="49">
        <f t="shared" si="10"/>
        <v>39.83</v>
      </c>
      <c r="X99" s="28">
        <f t="shared" si="11"/>
        <v>476</v>
      </c>
    </row>
    <row r="100" spans="4:24" ht="15" x14ac:dyDescent="0.25">
      <c r="D100" s="53">
        <v>95</v>
      </c>
      <c r="E100" s="52" t="s">
        <v>132</v>
      </c>
      <c r="F100" s="54">
        <v>3</v>
      </c>
      <c r="G100" s="56">
        <v>186</v>
      </c>
      <c r="H100" s="61">
        <v>0.39513262236806102</v>
      </c>
      <c r="I100" s="56">
        <v>16.536000000000001</v>
      </c>
      <c r="J100" s="59" t="s">
        <v>107</v>
      </c>
      <c r="K100" s="73" t="s">
        <v>301</v>
      </c>
      <c r="L100" s="79" t="e">
        <v>#VALUE!</v>
      </c>
      <c r="M100" s="69" t="e">
        <f t="shared" si="6"/>
        <v>#VALUE!</v>
      </c>
      <c r="N100" s="70" t="s">
        <v>306</v>
      </c>
      <c r="O100" s="76">
        <f t="shared" si="7"/>
        <v>1</v>
      </c>
      <c r="P100" s="76" t="e">
        <f t="shared" si="8"/>
        <v>#VALUE!</v>
      </c>
      <c r="Q100" s="77"/>
      <c r="R100" s="27">
        <v>0</v>
      </c>
      <c r="T100" s="22">
        <f t="shared" si="9"/>
        <v>0</v>
      </c>
      <c r="W100" s="49">
        <f t="shared" si="10"/>
        <v>39.51</v>
      </c>
      <c r="X100" s="28">
        <f t="shared" si="11"/>
        <v>17</v>
      </c>
    </row>
    <row r="101" spans="4:24" ht="15" x14ac:dyDescent="0.25">
      <c r="D101" s="53">
        <v>96</v>
      </c>
      <c r="E101" s="52" t="s">
        <v>159</v>
      </c>
      <c r="F101" s="54">
        <v>16</v>
      </c>
      <c r="G101" s="56">
        <v>176</v>
      </c>
      <c r="H101" s="61">
        <v>0.39239814055236499</v>
      </c>
      <c r="I101" s="56">
        <v>208.78899999999999</v>
      </c>
      <c r="J101" s="59" t="s">
        <v>107</v>
      </c>
      <c r="K101" s="73" t="s">
        <v>272</v>
      </c>
      <c r="L101" s="79" t="s">
        <v>498</v>
      </c>
      <c r="M101" s="69" t="str">
        <f t="shared" si="6"/>
        <v>56314125981</v>
      </c>
      <c r="N101" s="77" t="s">
        <v>389</v>
      </c>
      <c r="O101" s="76">
        <f t="shared" si="7"/>
        <v>16</v>
      </c>
      <c r="P101" s="76">
        <f t="shared" si="8"/>
        <v>12</v>
      </c>
      <c r="Q101" s="77"/>
      <c r="R101" s="27">
        <v>0</v>
      </c>
      <c r="T101" s="22">
        <f t="shared" si="9"/>
        <v>0</v>
      </c>
      <c r="W101" s="49">
        <f t="shared" si="10"/>
        <v>39.24</v>
      </c>
      <c r="X101" s="28">
        <f t="shared" si="11"/>
        <v>209</v>
      </c>
    </row>
    <row r="102" spans="4:24" ht="15" x14ac:dyDescent="0.25">
      <c r="D102" s="53">
        <v>97</v>
      </c>
      <c r="E102" s="52" t="s">
        <v>39</v>
      </c>
      <c r="F102" s="54">
        <v>2</v>
      </c>
      <c r="G102" s="56">
        <v>173</v>
      </c>
      <c r="H102" s="61">
        <v>0.39157779600765702</v>
      </c>
      <c r="I102" s="56">
        <v>22.466000000000001</v>
      </c>
      <c r="J102" s="59" t="s">
        <v>9</v>
      </c>
      <c r="K102" s="73" t="s">
        <v>301</v>
      </c>
      <c r="L102" s="79" t="e">
        <v>#VALUE!</v>
      </c>
      <c r="M102" s="69" t="e">
        <f t="shared" si="6"/>
        <v>#VALUE!</v>
      </c>
      <c r="N102" s="70" t="s">
        <v>306</v>
      </c>
      <c r="O102" s="76">
        <f t="shared" si="7"/>
        <v>1</v>
      </c>
      <c r="P102" s="76" t="e">
        <f t="shared" si="8"/>
        <v>#VALUE!</v>
      </c>
      <c r="Q102" s="77"/>
      <c r="R102" s="27">
        <v>0</v>
      </c>
      <c r="T102" s="22">
        <f t="shared" si="9"/>
        <v>0</v>
      </c>
      <c r="W102" s="49">
        <f t="shared" si="10"/>
        <v>39.159999999999997</v>
      </c>
      <c r="X102" s="28">
        <f t="shared" si="11"/>
        <v>22</v>
      </c>
    </row>
    <row r="103" spans="4:24" ht="15" x14ac:dyDescent="0.25">
      <c r="D103" s="53">
        <v>98</v>
      </c>
      <c r="E103" s="52" t="s">
        <v>133</v>
      </c>
      <c r="F103" s="54">
        <v>2</v>
      </c>
      <c r="G103" s="56">
        <v>173</v>
      </c>
      <c r="H103" s="61">
        <v>0.39157779600765702</v>
      </c>
      <c r="I103" s="56">
        <v>22.692</v>
      </c>
      <c r="J103" s="59" t="s">
        <v>107</v>
      </c>
      <c r="K103" s="73" t="s">
        <v>301</v>
      </c>
      <c r="L103" s="79" t="e">
        <v>#VALUE!</v>
      </c>
      <c r="M103" s="69" t="e">
        <f t="shared" si="6"/>
        <v>#VALUE!</v>
      </c>
      <c r="N103" s="70" t="s">
        <v>306</v>
      </c>
      <c r="O103" s="76">
        <f t="shared" si="7"/>
        <v>1</v>
      </c>
      <c r="P103" s="76" t="e">
        <f t="shared" si="8"/>
        <v>#VALUE!</v>
      </c>
      <c r="Q103" s="77"/>
      <c r="R103" s="27">
        <v>0</v>
      </c>
      <c r="T103" s="22">
        <f t="shared" si="9"/>
        <v>0</v>
      </c>
      <c r="W103" s="49">
        <f t="shared" si="10"/>
        <v>39.159999999999997</v>
      </c>
      <c r="X103" s="28">
        <f t="shared" si="11"/>
        <v>23</v>
      </c>
    </row>
    <row r="104" spans="4:24" ht="15" x14ac:dyDescent="0.25">
      <c r="D104" s="53">
        <v>99</v>
      </c>
      <c r="E104" s="52" t="s">
        <v>40</v>
      </c>
      <c r="F104" s="54">
        <v>16</v>
      </c>
      <c r="G104" s="56">
        <v>172</v>
      </c>
      <c r="H104" s="61">
        <v>0.39130434782608697</v>
      </c>
      <c r="I104" s="56">
        <v>130.77000000000001</v>
      </c>
      <c r="J104" s="59" t="s">
        <v>9</v>
      </c>
      <c r="K104" s="73" t="s">
        <v>273</v>
      </c>
      <c r="L104" s="79" t="s">
        <v>499</v>
      </c>
      <c r="M104" s="69" t="str">
        <f t="shared" si="6"/>
        <v>8381412966</v>
      </c>
      <c r="N104" s="77" t="s">
        <v>390</v>
      </c>
      <c r="O104" s="76">
        <f t="shared" si="7"/>
        <v>15</v>
      </c>
      <c r="P104" s="76">
        <f t="shared" si="8"/>
        <v>11</v>
      </c>
      <c r="Q104" s="77"/>
      <c r="R104" s="27">
        <v>0</v>
      </c>
      <c r="T104" s="22">
        <f t="shared" si="9"/>
        <v>0</v>
      </c>
      <c r="W104" s="49">
        <f t="shared" si="10"/>
        <v>39.130000000000003</v>
      </c>
      <c r="X104" s="28">
        <f t="shared" si="11"/>
        <v>131</v>
      </c>
    </row>
    <row r="105" spans="4:24" ht="15" x14ac:dyDescent="0.25">
      <c r="D105" s="53">
        <v>100</v>
      </c>
      <c r="E105" s="52" t="s">
        <v>42</v>
      </c>
      <c r="F105" s="54">
        <v>3</v>
      </c>
      <c r="G105" s="56">
        <v>165</v>
      </c>
      <c r="H105" s="61">
        <v>0.38939021055509998</v>
      </c>
      <c r="I105" s="56">
        <v>21.423999999999999</v>
      </c>
      <c r="J105" s="59" t="s">
        <v>9</v>
      </c>
      <c r="K105" s="73" t="s">
        <v>301</v>
      </c>
      <c r="L105" s="79" t="e">
        <v>#VALUE!</v>
      </c>
      <c r="M105" s="69" t="e">
        <f t="shared" si="6"/>
        <v>#VALUE!</v>
      </c>
      <c r="N105" s="70" t="s">
        <v>306</v>
      </c>
      <c r="O105" s="76">
        <f t="shared" si="7"/>
        <v>1</v>
      </c>
      <c r="P105" s="76" t="e">
        <f t="shared" si="8"/>
        <v>#VALUE!</v>
      </c>
      <c r="Q105" s="77"/>
      <c r="R105" s="27">
        <v>0</v>
      </c>
      <c r="T105" s="22">
        <f t="shared" si="9"/>
        <v>0</v>
      </c>
      <c r="W105" s="49">
        <f t="shared" si="10"/>
        <v>38.94</v>
      </c>
      <c r="X105" s="28">
        <f t="shared" si="11"/>
        <v>21</v>
      </c>
    </row>
    <row r="106" spans="4:24" ht="15" x14ac:dyDescent="0.25">
      <c r="D106" s="53">
        <v>101</v>
      </c>
      <c r="E106" s="52" t="s">
        <v>79</v>
      </c>
      <c r="F106" s="54">
        <v>16</v>
      </c>
      <c r="G106" s="56">
        <v>1099.75</v>
      </c>
      <c r="H106" s="61">
        <v>0.38873626373626402</v>
      </c>
      <c r="I106" s="56">
        <v>24.288</v>
      </c>
      <c r="J106" s="59" t="s">
        <v>65</v>
      </c>
      <c r="K106" s="73" t="s">
        <v>274</v>
      </c>
      <c r="L106" s="79" t="s">
        <v>500</v>
      </c>
      <c r="M106" s="69" t="str">
        <f t="shared" si="6"/>
        <v>36414126293</v>
      </c>
      <c r="N106" s="77" t="s">
        <v>391</v>
      </c>
      <c r="O106" s="76">
        <f t="shared" si="7"/>
        <v>16</v>
      </c>
      <c r="P106" s="76">
        <f t="shared" si="8"/>
        <v>12</v>
      </c>
      <c r="Q106" s="77"/>
      <c r="R106" s="27">
        <v>0</v>
      </c>
      <c r="T106" s="22">
        <f t="shared" si="9"/>
        <v>0</v>
      </c>
      <c r="W106" s="49">
        <f t="shared" si="10"/>
        <v>38.869999999999997</v>
      </c>
      <c r="X106" s="28">
        <f t="shared" si="11"/>
        <v>24</v>
      </c>
    </row>
    <row r="107" spans="4:24" ht="15" x14ac:dyDescent="0.25">
      <c r="D107" s="53">
        <v>102</v>
      </c>
      <c r="E107" s="52" t="s">
        <v>41</v>
      </c>
      <c r="F107" s="54">
        <v>3</v>
      </c>
      <c r="G107" s="56">
        <v>162</v>
      </c>
      <c r="H107" s="61">
        <v>0.38856986601039101</v>
      </c>
      <c r="I107" s="56">
        <v>21.02</v>
      </c>
      <c r="J107" s="59" t="s">
        <v>9</v>
      </c>
      <c r="K107" s="73" t="s">
        <v>301</v>
      </c>
      <c r="L107" s="79" t="e">
        <v>#VALUE!</v>
      </c>
      <c r="M107" s="69" t="e">
        <f t="shared" si="6"/>
        <v>#VALUE!</v>
      </c>
      <c r="N107" s="70" t="s">
        <v>306</v>
      </c>
      <c r="O107" s="76">
        <f t="shared" si="7"/>
        <v>1</v>
      </c>
      <c r="P107" s="76" t="e">
        <f t="shared" si="8"/>
        <v>#VALUE!</v>
      </c>
      <c r="Q107" s="77"/>
      <c r="R107" s="27">
        <v>0</v>
      </c>
      <c r="T107" s="22">
        <f t="shared" si="9"/>
        <v>0</v>
      </c>
      <c r="W107" s="49">
        <f t="shared" si="10"/>
        <v>38.86</v>
      </c>
      <c r="X107" s="28">
        <f t="shared" si="11"/>
        <v>21</v>
      </c>
    </row>
    <row r="108" spans="4:24" ht="15" x14ac:dyDescent="0.25">
      <c r="D108" s="53">
        <v>103</v>
      </c>
      <c r="E108" s="52" t="s">
        <v>139</v>
      </c>
      <c r="F108" s="54">
        <v>2</v>
      </c>
      <c r="G108" s="56">
        <v>161</v>
      </c>
      <c r="H108" s="61">
        <v>0.38829641782882102</v>
      </c>
      <c r="I108" s="56">
        <v>20.236000000000001</v>
      </c>
      <c r="J108" s="59" t="s">
        <v>107</v>
      </c>
      <c r="K108" s="73" t="s">
        <v>301</v>
      </c>
      <c r="L108" s="79" t="e">
        <v>#VALUE!</v>
      </c>
      <c r="M108" s="69" t="e">
        <f t="shared" si="6"/>
        <v>#VALUE!</v>
      </c>
      <c r="N108" s="70" t="s">
        <v>306</v>
      </c>
      <c r="O108" s="76">
        <f t="shared" si="7"/>
        <v>1</v>
      </c>
      <c r="P108" s="76" t="e">
        <f t="shared" si="8"/>
        <v>#VALUE!</v>
      </c>
      <c r="Q108" s="77"/>
      <c r="R108" s="27">
        <v>0</v>
      </c>
      <c r="T108" s="22">
        <f t="shared" si="9"/>
        <v>0</v>
      </c>
      <c r="W108" s="49">
        <f t="shared" si="10"/>
        <v>38.83</v>
      </c>
      <c r="X108" s="28">
        <f t="shared" si="11"/>
        <v>20</v>
      </c>
    </row>
    <row r="109" spans="4:24" ht="15" x14ac:dyDescent="0.25">
      <c r="D109" s="53">
        <v>104</v>
      </c>
      <c r="E109" s="52" t="s">
        <v>50</v>
      </c>
      <c r="F109" s="54">
        <v>2</v>
      </c>
      <c r="G109" s="56">
        <v>161</v>
      </c>
      <c r="H109" s="61">
        <v>0.38829641782882102</v>
      </c>
      <c r="I109" s="56">
        <v>24.091999999999999</v>
      </c>
      <c r="J109" s="59" t="s">
        <v>9</v>
      </c>
      <c r="K109" s="73" t="s">
        <v>301</v>
      </c>
      <c r="L109" s="79" t="e">
        <v>#VALUE!</v>
      </c>
      <c r="M109" s="69" t="e">
        <f t="shared" si="6"/>
        <v>#VALUE!</v>
      </c>
      <c r="N109" s="70" t="s">
        <v>306</v>
      </c>
      <c r="O109" s="76">
        <f t="shared" si="7"/>
        <v>1</v>
      </c>
      <c r="P109" s="76" t="e">
        <f t="shared" si="8"/>
        <v>#VALUE!</v>
      </c>
      <c r="Q109" s="77"/>
      <c r="R109" s="27">
        <v>0</v>
      </c>
      <c r="T109" s="22">
        <f t="shared" si="9"/>
        <v>0</v>
      </c>
      <c r="W109" s="49">
        <f t="shared" si="10"/>
        <v>38.83</v>
      </c>
      <c r="X109" s="28">
        <f t="shared" si="11"/>
        <v>24</v>
      </c>
    </row>
    <row r="110" spans="4:24" ht="15" x14ac:dyDescent="0.25">
      <c r="D110" s="53">
        <v>105</v>
      </c>
      <c r="E110" s="52" t="s">
        <v>136</v>
      </c>
      <c r="F110" s="54">
        <v>4</v>
      </c>
      <c r="G110" s="56">
        <v>157</v>
      </c>
      <c r="H110" s="61">
        <v>0.387202625102543</v>
      </c>
      <c r="I110" s="56">
        <v>43.91</v>
      </c>
      <c r="J110" s="59" t="s">
        <v>107</v>
      </c>
      <c r="K110" s="73" t="s">
        <v>301</v>
      </c>
      <c r="L110" s="79" t="e">
        <v>#VALUE!</v>
      </c>
      <c r="M110" s="69" t="e">
        <f t="shared" si="6"/>
        <v>#VALUE!</v>
      </c>
      <c r="N110" s="70" t="s">
        <v>306</v>
      </c>
      <c r="O110" s="76">
        <f t="shared" si="7"/>
        <v>1</v>
      </c>
      <c r="P110" s="76" t="e">
        <f t="shared" si="8"/>
        <v>#VALUE!</v>
      </c>
      <c r="Q110" s="77"/>
      <c r="R110" s="27">
        <v>0</v>
      </c>
      <c r="T110" s="22">
        <f t="shared" si="9"/>
        <v>0</v>
      </c>
      <c r="W110" s="49">
        <f t="shared" si="10"/>
        <v>38.72</v>
      </c>
      <c r="X110" s="28">
        <f t="shared" si="11"/>
        <v>44</v>
      </c>
    </row>
    <row r="111" spans="4:24" ht="15" x14ac:dyDescent="0.25">
      <c r="D111" s="53">
        <v>106</v>
      </c>
      <c r="E111" s="52" t="s">
        <v>151</v>
      </c>
      <c r="F111" s="54">
        <v>16</v>
      </c>
      <c r="G111" s="56">
        <v>156</v>
      </c>
      <c r="H111" s="61">
        <v>0.38692917692097301</v>
      </c>
      <c r="I111" s="56">
        <v>243.78899999999999</v>
      </c>
      <c r="J111" s="59" t="s">
        <v>107</v>
      </c>
      <c r="K111" s="73" t="s">
        <v>280</v>
      </c>
      <c r="L111" s="79" t="s">
        <v>501</v>
      </c>
      <c r="M111" s="69" t="str">
        <f t="shared" si="6"/>
        <v>87714127115</v>
      </c>
      <c r="N111" s="77" t="s">
        <v>392</v>
      </c>
      <c r="O111" s="76">
        <f t="shared" si="7"/>
        <v>16</v>
      </c>
      <c r="P111" s="76">
        <f t="shared" si="8"/>
        <v>12</v>
      </c>
      <c r="Q111" s="77"/>
      <c r="R111" s="27">
        <v>0</v>
      </c>
      <c r="T111" s="22">
        <f t="shared" si="9"/>
        <v>0</v>
      </c>
      <c r="W111" s="49">
        <f t="shared" si="10"/>
        <v>38.69</v>
      </c>
      <c r="X111" s="28">
        <f t="shared" si="11"/>
        <v>244</v>
      </c>
    </row>
    <row r="112" spans="4:24" ht="15" x14ac:dyDescent="0.25">
      <c r="D112" s="53">
        <v>107</v>
      </c>
      <c r="E112" s="52" t="s">
        <v>86</v>
      </c>
      <c r="F112" s="54">
        <v>16</v>
      </c>
      <c r="G112" s="56">
        <v>1090.2638888888901</v>
      </c>
      <c r="H112" s="61">
        <v>0.38567029375852901</v>
      </c>
      <c r="I112" s="56">
        <v>157.64400000000001</v>
      </c>
      <c r="J112" s="59" t="s">
        <v>65</v>
      </c>
      <c r="K112" s="73" t="s">
        <v>275</v>
      </c>
      <c r="L112" s="79" t="s">
        <v>502</v>
      </c>
      <c r="M112" s="69" t="str">
        <f t="shared" si="6"/>
        <v>26114126234</v>
      </c>
      <c r="N112" s="77" t="s">
        <v>393</v>
      </c>
      <c r="O112" s="76">
        <f t="shared" si="7"/>
        <v>16</v>
      </c>
      <c r="P112" s="76">
        <f t="shared" si="8"/>
        <v>12</v>
      </c>
      <c r="Q112" s="77"/>
      <c r="R112" s="27">
        <v>0</v>
      </c>
      <c r="S112" s="49">
        <v>25</v>
      </c>
      <c r="T112" s="22">
        <f t="shared" si="9"/>
        <v>25</v>
      </c>
      <c r="W112" s="49">
        <f t="shared" si="10"/>
        <v>38.57</v>
      </c>
      <c r="X112" s="28">
        <f t="shared" si="11"/>
        <v>158</v>
      </c>
    </row>
    <row r="113" spans="4:24" ht="15" x14ac:dyDescent="0.25">
      <c r="D113" s="53">
        <v>108</v>
      </c>
      <c r="E113" s="52" t="s">
        <v>44</v>
      </c>
      <c r="F113" s="54">
        <v>3</v>
      </c>
      <c r="G113" s="56">
        <v>147</v>
      </c>
      <c r="H113" s="61">
        <v>0.38446814328684698</v>
      </c>
      <c r="I113" s="56">
        <v>33.363999999999997</v>
      </c>
      <c r="J113" s="59" t="s">
        <v>9</v>
      </c>
      <c r="K113" s="73" t="s">
        <v>301</v>
      </c>
      <c r="L113" s="79" t="e">
        <v>#VALUE!</v>
      </c>
      <c r="M113" s="69" t="e">
        <f t="shared" si="6"/>
        <v>#VALUE!</v>
      </c>
      <c r="N113" s="70" t="s">
        <v>306</v>
      </c>
      <c r="O113" s="76">
        <f t="shared" si="7"/>
        <v>1</v>
      </c>
      <c r="P113" s="76" t="e">
        <f t="shared" si="8"/>
        <v>#VALUE!</v>
      </c>
      <c r="Q113" s="77"/>
      <c r="R113" s="27">
        <v>0</v>
      </c>
      <c r="T113" s="22">
        <f t="shared" si="9"/>
        <v>0</v>
      </c>
      <c r="W113" s="49">
        <f t="shared" si="10"/>
        <v>38.450000000000003</v>
      </c>
      <c r="X113" s="28">
        <f t="shared" si="11"/>
        <v>33</v>
      </c>
    </row>
    <row r="114" spans="4:24" ht="15" x14ac:dyDescent="0.25">
      <c r="D114" s="53">
        <v>109</v>
      </c>
      <c r="E114" s="52" t="s">
        <v>134</v>
      </c>
      <c r="F114" s="54">
        <v>3</v>
      </c>
      <c r="G114" s="56">
        <v>144</v>
      </c>
      <c r="H114" s="61">
        <v>0.383647798742138</v>
      </c>
      <c r="I114" s="56">
        <v>66.519000000000005</v>
      </c>
      <c r="J114" s="59" t="s">
        <v>107</v>
      </c>
      <c r="K114" s="73" t="s">
        <v>301</v>
      </c>
      <c r="L114" s="79" t="e">
        <v>#VALUE!</v>
      </c>
      <c r="M114" s="69" t="e">
        <f t="shared" si="6"/>
        <v>#VALUE!</v>
      </c>
      <c r="N114" s="70" t="s">
        <v>306</v>
      </c>
      <c r="O114" s="76">
        <f t="shared" si="7"/>
        <v>1</v>
      </c>
      <c r="P114" s="76" t="e">
        <f t="shared" si="8"/>
        <v>#VALUE!</v>
      </c>
      <c r="Q114" s="77"/>
      <c r="R114" s="27">
        <v>0</v>
      </c>
      <c r="T114" s="22">
        <f t="shared" si="9"/>
        <v>0</v>
      </c>
      <c r="W114" s="49">
        <f t="shared" si="10"/>
        <v>38.36</v>
      </c>
      <c r="X114" s="28">
        <f t="shared" si="11"/>
        <v>67</v>
      </c>
    </row>
    <row r="115" spans="4:24" ht="15" x14ac:dyDescent="0.25">
      <c r="D115" s="53">
        <v>110</v>
      </c>
      <c r="E115" s="52" t="s">
        <v>137</v>
      </c>
      <c r="F115" s="54">
        <v>4</v>
      </c>
      <c r="G115" s="56">
        <v>139</v>
      </c>
      <c r="H115" s="61">
        <v>0.38228055783428999</v>
      </c>
      <c r="I115" s="56">
        <v>34.353999999999999</v>
      </c>
      <c r="J115" s="59" t="s">
        <v>107</v>
      </c>
      <c r="K115" s="73" t="s">
        <v>301</v>
      </c>
      <c r="L115" s="79" t="e">
        <v>#VALUE!</v>
      </c>
      <c r="M115" s="69" t="e">
        <f t="shared" si="6"/>
        <v>#VALUE!</v>
      </c>
      <c r="N115" s="70" t="s">
        <v>306</v>
      </c>
      <c r="O115" s="76">
        <f t="shared" si="7"/>
        <v>1</v>
      </c>
      <c r="P115" s="76" t="e">
        <f t="shared" si="8"/>
        <v>#VALUE!</v>
      </c>
      <c r="Q115" s="77"/>
      <c r="R115" s="27">
        <v>0</v>
      </c>
      <c r="T115" s="22">
        <f t="shared" si="9"/>
        <v>0</v>
      </c>
      <c r="W115" s="49">
        <f t="shared" si="10"/>
        <v>38.229999999999997</v>
      </c>
      <c r="X115" s="28">
        <f t="shared" si="11"/>
        <v>34</v>
      </c>
    </row>
    <row r="116" spans="4:24" ht="15" x14ac:dyDescent="0.25">
      <c r="D116" s="53">
        <v>111</v>
      </c>
      <c r="E116" s="52" t="s">
        <v>66</v>
      </c>
      <c r="F116" s="54">
        <v>16</v>
      </c>
      <c r="G116" s="56">
        <v>1078.75</v>
      </c>
      <c r="H116" s="61">
        <v>0.38194893341952202</v>
      </c>
      <c r="I116" s="56">
        <v>163.297</v>
      </c>
      <c r="J116" s="59" t="s">
        <v>65</v>
      </c>
      <c r="K116" s="73" t="s">
        <v>277</v>
      </c>
      <c r="L116" s="79" t="s">
        <v>503</v>
      </c>
      <c r="M116" s="69" t="str">
        <f t="shared" si="6"/>
        <v>38141262314</v>
      </c>
      <c r="N116" s="77" t="s">
        <v>394</v>
      </c>
      <c r="O116" s="76">
        <f t="shared" si="7"/>
        <v>16</v>
      </c>
      <c r="P116" s="76">
        <f t="shared" si="8"/>
        <v>12</v>
      </c>
      <c r="Q116" s="77"/>
      <c r="R116" s="27">
        <v>0</v>
      </c>
      <c r="T116" s="22">
        <f t="shared" si="9"/>
        <v>0</v>
      </c>
      <c r="W116" s="49">
        <f t="shared" si="10"/>
        <v>38.19</v>
      </c>
      <c r="X116" s="28">
        <f t="shared" si="11"/>
        <v>163</v>
      </c>
    </row>
    <row r="117" spans="4:24" ht="15" x14ac:dyDescent="0.25">
      <c r="D117" s="53">
        <v>112</v>
      </c>
      <c r="E117" s="52" t="s">
        <v>45</v>
      </c>
      <c r="F117" s="54">
        <v>15</v>
      </c>
      <c r="G117" s="56">
        <v>129</v>
      </c>
      <c r="H117" s="61">
        <v>0.37954607601859403</v>
      </c>
      <c r="I117" s="56">
        <v>139.75</v>
      </c>
      <c r="J117" s="59" t="s">
        <v>9</v>
      </c>
      <c r="K117" s="73" t="s">
        <v>301</v>
      </c>
      <c r="L117" s="79" t="e">
        <v>#VALUE!</v>
      </c>
      <c r="M117" s="69" t="e">
        <f t="shared" si="6"/>
        <v>#VALUE!</v>
      </c>
      <c r="N117" s="70" t="s">
        <v>306</v>
      </c>
      <c r="O117" s="76">
        <f t="shared" si="7"/>
        <v>1</v>
      </c>
      <c r="P117" s="76" t="e">
        <f t="shared" si="8"/>
        <v>#VALUE!</v>
      </c>
      <c r="Q117" s="77"/>
      <c r="R117" s="27">
        <v>0</v>
      </c>
      <c r="T117" s="22">
        <f t="shared" si="9"/>
        <v>0</v>
      </c>
      <c r="W117" s="49">
        <f t="shared" si="10"/>
        <v>37.950000000000003</v>
      </c>
      <c r="X117" s="28">
        <f t="shared" si="11"/>
        <v>140</v>
      </c>
    </row>
    <row r="118" spans="4:24" ht="15" x14ac:dyDescent="0.25">
      <c r="D118" s="53">
        <v>113</v>
      </c>
      <c r="E118" s="52" t="s">
        <v>138</v>
      </c>
      <c r="F118" s="54">
        <v>4</v>
      </c>
      <c r="G118" s="56">
        <v>127</v>
      </c>
      <c r="H118" s="61">
        <v>0.37899917965545499</v>
      </c>
      <c r="I118" s="56">
        <v>60.378</v>
      </c>
      <c r="J118" s="59" t="s">
        <v>107</v>
      </c>
      <c r="K118" s="73" t="s">
        <v>301</v>
      </c>
      <c r="L118" s="79" t="e">
        <v>#VALUE!</v>
      </c>
      <c r="M118" s="69" t="e">
        <f t="shared" si="6"/>
        <v>#VALUE!</v>
      </c>
      <c r="N118" s="70" t="s">
        <v>306</v>
      </c>
      <c r="O118" s="76">
        <f t="shared" si="7"/>
        <v>1</v>
      </c>
      <c r="P118" s="76" t="e">
        <f t="shared" si="8"/>
        <v>#VALUE!</v>
      </c>
      <c r="Q118" s="77"/>
      <c r="R118" s="27">
        <v>0</v>
      </c>
      <c r="T118" s="22">
        <f t="shared" si="9"/>
        <v>0</v>
      </c>
      <c r="W118" s="49">
        <f t="shared" si="10"/>
        <v>37.9</v>
      </c>
      <c r="X118" s="28">
        <f t="shared" si="11"/>
        <v>60</v>
      </c>
    </row>
    <row r="119" spans="4:24" ht="15" x14ac:dyDescent="0.25">
      <c r="D119" s="53">
        <v>114</v>
      </c>
      <c r="E119" s="52" t="s">
        <v>43</v>
      </c>
      <c r="F119" s="54">
        <v>2</v>
      </c>
      <c r="G119" s="56">
        <v>114</v>
      </c>
      <c r="H119" s="61">
        <v>0.37544435329505099</v>
      </c>
      <c r="I119" s="56">
        <v>27.643999999999998</v>
      </c>
      <c r="J119" s="59" t="s">
        <v>9</v>
      </c>
      <c r="K119" s="73" t="s">
        <v>301</v>
      </c>
      <c r="L119" s="79" t="e">
        <v>#VALUE!</v>
      </c>
      <c r="M119" s="69" t="e">
        <f t="shared" si="6"/>
        <v>#VALUE!</v>
      </c>
      <c r="N119" s="70" t="s">
        <v>306</v>
      </c>
      <c r="O119" s="76">
        <f t="shared" si="7"/>
        <v>1</v>
      </c>
      <c r="P119" s="76" t="e">
        <f t="shared" si="8"/>
        <v>#VALUE!</v>
      </c>
      <c r="Q119" s="77"/>
      <c r="R119" s="27">
        <v>0</v>
      </c>
      <c r="T119" s="22">
        <f t="shared" si="9"/>
        <v>0</v>
      </c>
      <c r="W119" s="49">
        <f t="shared" si="10"/>
        <v>37.54</v>
      </c>
      <c r="X119" s="28">
        <f t="shared" si="11"/>
        <v>28</v>
      </c>
    </row>
    <row r="120" spans="4:24" ht="15" x14ac:dyDescent="0.25">
      <c r="D120" s="53">
        <v>115</v>
      </c>
      <c r="E120" s="52" t="s">
        <v>47</v>
      </c>
      <c r="F120" s="54">
        <v>2</v>
      </c>
      <c r="G120" s="56">
        <v>93</v>
      </c>
      <c r="H120" s="61">
        <v>0.36970194148208901</v>
      </c>
      <c r="I120" s="56">
        <v>32.94</v>
      </c>
      <c r="J120" s="59" t="s">
        <v>9</v>
      </c>
      <c r="K120" s="73" t="s">
        <v>301</v>
      </c>
      <c r="L120" s="79" t="e">
        <v>#VALUE!</v>
      </c>
      <c r="M120" s="69" t="e">
        <f t="shared" si="6"/>
        <v>#VALUE!</v>
      </c>
      <c r="N120" s="70" t="s">
        <v>306</v>
      </c>
      <c r="O120" s="76">
        <f t="shared" si="7"/>
        <v>1</v>
      </c>
      <c r="P120" s="76" t="e">
        <f t="shared" si="8"/>
        <v>#VALUE!</v>
      </c>
      <c r="Q120" s="77"/>
      <c r="R120" s="27">
        <v>0</v>
      </c>
      <c r="T120" s="22">
        <f t="shared" si="9"/>
        <v>0</v>
      </c>
      <c r="W120" s="49">
        <f t="shared" si="10"/>
        <v>36.97</v>
      </c>
      <c r="X120" s="28">
        <f t="shared" si="11"/>
        <v>33</v>
      </c>
    </row>
    <row r="121" spans="4:24" ht="15" x14ac:dyDescent="0.25">
      <c r="D121" s="53">
        <v>116</v>
      </c>
      <c r="E121" s="52" t="s">
        <v>140</v>
      </c>
      <c r="F121" s="54">
        <v>4</v>
      </c>
      <c r="G121" s="56">
        <v>87</v>
      </c>
      <c r="H121" s="61">
        <v>0.36806125239267201</v>
      </c>
      <c r="I121" s="56">
        <v>15.411</v>
      </c>
      <c r="J121" s="59" t="s">
        <v>107</v>
      </c>
      <c r="K121" s="73" t="s">
        <v>301</v>
      </c>
      <c r="L121" s="79" t="e">
        <v>#VALUE!</v>
      </c>
      <c r="M121" s="69" t="e">
        <f t="shared" si="6"/>
        <v>#VALUE!</v>
      </c>
      <c r="N121" s="70" t="s">
        <v>306</v>
      </c>
      <c r="O121" s="76">
        <f t="shared" si="7"/>
        <v>1</v>
      </c>
      <c r="P121" s="76" t="e">
        <f t="shared" si="8"/>
        <v>#VALUE!</v>
      </c>
      <c r="Q121" s="77"/>
      <c r="R121" s="27">
        <v>0</v>
      </c>
      <c r="T121" s="22">
        <f t="shared" si="9"/>
        <v>0</v>
      </c>
      <c r="W121" s="49">
        <f t="shared" si="10"/>
        <v>36.81</v>
      </c>
      <c r="X121" s="28">
        <f t="shared" si="11"/>
        <v>15</v>
      </c>
    </row>
    <row r="122" spans="4:24" ht="15" x14ac:dyDescent="0.25">
      <c r="D122" s="53">
        <v>117</v>
      </c>
      <c r="E122" s="52" t="s">
        <v>48</v>
      </c>
      <c r="F122" s="54">
        <v>1</v>
      </c>
      <c r="G122" s="56">
        <v>84</v>
      </c>
      <c r="H122" s="61">
        <v>0.36724090784796298</v>
      </c>
      <c r="I122" s="56">
        <v>15.502000000000001</v>
      </c>
      <c r="J122" s="59" t="s">
        <v>9</v>
      </c>
      <c r="K122" s="73" t="s">
        <v>301</v>
      </c>
      <c r="L122" s="79" t="e">
        <v>#VALUE!</v>
      </c>
      <c r="M122" s="69" t="e">
        <f t="shared" si="6"/>
        <v>#VALUE!</v>
      </c>
      <c r="N122" s="70" t="s">
        <v>306</v>
      </c>
      <c r="O122" s="76">
        <f t="shared" si="7"/>
        <v>1</v>
      </c>
      <c r="P122" s="76" t="e">
        <f t="shared" si="8"/>
        <v>#VALUE!</v>
      </c>
      <c r="Q122" s="77"/>
      <c r="R122" s="27">
        <v>0</v>
      </c>
      <c r="T122" s="22">
        <f t="shared" si="9"/>
        <v>0</v>
      </c>
      <c r="W122" s="49">
        <f t="shared" si="10"/>
        <v>36.72</v>
      </c>
      <c r="X122" s="28">
        <f t="shared" si="11"/>
        <v>16</v>
      </c>
    </row>
    <row r="123" spans="4:24" ht="15" x14ac:dyDescent="0.25">
      <c r="D123" s="53">
        <v>118</v>
      </c>
      <c r="E123" s="52" t="s">
        <v>141</v>
      </c>
      <c r="F123" s="54">
        <v>1</v>
      </c>
      <c r="G123" s="56">
        <v>84</v>
      </c>
      <c r="H123" s="61">
        <v>0.36724090784796298</v>
      </c>
      <c r="I123" s="56">
        <v>21.844000000000001</v>
      </c>
      <c r="J123" s="59" t="s">
        <v>107</v>
      </c>
      <c r="K123" s="73" t="s">
        <v>301</v>
      </c>
      <c r="L123" s="79" t="e">
        <v>#VALUE!</v>
      </c>
      <c r="M123" s="69" t="e">
        <f t="shared" si="6"/>
        <v>#VALUE!</v>
      </c>
      <c r="N123" s="70" t="s">
        <v>306</v>
      </c>
      <c r="O123" s="76">
        <f t="shared" si="7"/>
        <v>1</v>
      </c>
      <c r="P123" s="76" t="e">
        <f t="shared" si="8"/>
        <v>#VALUE!</v>
      </c>
      <c r="Q123" s="77"/>
      <c r="R123" s="27">
        <v>0</v>
      </c>
      <c r="T123" s="22">
        <f t="shared" si="9"/>
        <v>0</v>
      </c>
      <c r="W123" s="49">
        <f t="shared" si="10"/>
        <v>36.72</v>
      </c>
      <c r="X123" s="28">
        <f t="shared" si="11"/>
        <v>22</v>
      </c>
    </row>
    <row r="124" spans="4:24" ht="15" x14ac:dyDescent="0.25">
      <c r="D124" s="53">
        <v>119</v>
      </c>
      <c r="E124" s="52" t="s">
        <v>188</v>
      </c>
      <c r="F124" s="54">
        <v>1</v>
      </c>
      <c r="G124" s="56">
        <v>84</v>
      </c>
      <c r="H124" s="61">
        <v>0.36724090784796298</v>
      </c>
      <c r="I124" s="56">
        <v>28.414000000000001</v>
      </c>
      <c r="J124" s="59" t="s">
        <v>107</v>
      </c>
      <c r="K124" s="73" t="s">
        <v>301</v>
      </c>
      <c r="L124" s="79" t="e">
        <v>#VALUE!</v>
      </c>
      <c r="M124" s="69" t="e">
        <f t="shared" si="6"/>
        <v>#VALUE!</v>
      </c>
      <c r="N124" s="70" t="s">
        <v>306</v>
      </c>
      <c r="O124" s="76">
        <f t="shared" si="7"/>
        <v>1</v>
      </c>
      <c r="P124" s="76" t="e">
        <f t="shared" si="8"/>
        <v>#VALUE!</v>
      </c>
      <c r="Q124" s="77"/>
      <c r="R124" s="27">
        <v>0</v>
      </c>
      <c r="T124" s="22">
        <f t="shared" si="9"/>
        <v>0</v>
      </c>
      <c r="W124" s="49">
        <f t="shared" si="10"/>
        <v>36.72</v>
      </c>
      <c r="X124" s="28">
        <f t="shared" si="11"/>
        <v>28</v>
      </c>
    </row>
    <row r="125" spans="4:24" ht="15" x14ac:dyDescent="0.25">
      <c r="D125" s="53">
        <v>120</v>
      </c>
      <c r="E125" s="52" t="s">
        <v>49</v>
      </c>
      <c r="F125" s="54">
        <v>4</v>
      </c>
      <c r="G125" s="56">
        <v>84</v>
      </c>
      <c r="H125" s="61">
        <v>0.36724090784796298</v>
      </c>
      <c r="I125" s="56">
        <v>39.615000000000002</v>
      </c>
      <c r="J125" s="59" t="s">
        <v>9</v>
      </c>
      <c r="K125" s="73" t="s">
        <v>301</v>
      </c>
      <c r="L125" s="79" t="e">
        <v>#VALUE!</v>
      </c>
      <c r="M125" s="69" t="e">
        <f t="shared" si="6"/>
        <v>#VALUE!</v>
      </c>
      <c r="N125" s="70" t="s">
        <v>306</v>
      </c>
      <c r="O125" s="76">
        <f t="shared" si="7"/>
        <v>1</v>
      </c>
      <c r="P125" s="76" t="e">
        <f t="shared" si="8"/>
        <v>#VALUE!</v>
      </c>
      <c r="Q125" s="77"/>
      <c r="R125" s="27">
        <v>0</v>
      </c>
      <c r="T125" s="22">
        <f t="shared" si="9"/>
        <v>0</v>
      </c>
      <c r="W125" s="49">
        <f t="shared" si="10"/>
        <v>36.72</v>
      </c>
      <c r="X125" s="28">
        <f t="shared" si="11"/>
        <v>40</v>
      </c>
    </row>
    <row r="126" spans="4:24" ht="15" x14ac:dyDescent="0.25">
      <c r="D126" s="53">
        <v>121</v>
      </c>
      <c r="E126" s="52" t="s">
        <v>142</v>
      </c>
      <c r="F126" s="54">
        <v>1</v>
      </c>
      <c r="G126" s="56">
        <v>79</v>
      </c>
      <c r="H126" s="61">
        <v>0.36587366694011503</v>
      </c>
      <c r="I126" s="56">
        <v>10.444000000000001</v>
      </c>
      <c r="J126" s="59" t="s">
        <v>107</v>
      </c>
      <c r="K126" s="73" t="s">
        <v>301</v>
      </c>
      <c r="L126" s="79" t="e">
        <v>#VALUE!</v>
      </c>
      <c r="M126" s="69" t="e">
        <f t="shared" si="6"/>
        <v>#VALUE!</v>
      </c>
      <c r="N126" s="70" t="s">
        <v>306</v>
      </c>
      <c r="O126" s="76">
        <f t="shared" si="7"/>
        <v>1</v>
      </c>
      <c r="P126" s="76" t="e">
        <f t="shared" si="8"/>
        <v>#VALUE!</v>
      </c>
      <c r="Q126" s="77"/>
      <c r="R126" s="27">
        <v>0</v>
      </c>
      <c r="T126" s="22">
        <f t="shared" si="9"/>
        <v>0</v>
      </c>
      <c r="W126" s="49">
        <f t="shared" si="10"/>
        <v>36.590000000000003</v>
      </c>
      <c r="X126" s="28">
        <f t="shared" si="11"/>
        <v>10</v>
      </c>
    </row>
    <row r="127" spans="4:24" ht="15" x14ac:dyDescent="0.25">
      <c r="D127" s="53">
        <v>122</v>
      </c>
      <c r="E127" s="52" t="s">
        <v>143</v>
      </c>
      <c r="F127" s="54">
        <v>1</v>
      </c>
      <c r="G127" s="56">
        <v>79</v>
      </c>
      <c r="H127" s="61">
        <v>0.36587366694011503</v>
      </c>
      <c r="I127" s="56">
        <v>22.04</v>
      </c>
      <c r="J127" s="59" t="s">
        <v>107</v>
      </c>
      <c r="K127" s="73" t="s">
        <v>301</v>
      </c>
      <c r="L127" s="79" t="e">
        <v>#VALUE!</v>
      </c>
      <c r="M127" s="69" t="e">
        <f t="shared" si="6"/>
        <v>#VALUE!</v>
      </c>
      <c r="N127" s="70" t="s">
        <v>306</v>
      </c>
      <c r="O127" s="76">
        <f t="shared" si="7"/>
        <v>1</v>
      </c>
      <c r="P127" s="76" t="e">
        <f t="shared" si="8"/>
        <v>#VALUE!</v>
      </c>
      <c r="Q127" s="77"/>
      <c r="R127" s="27">
        <v>0</v>
      </c>
      <c r="T127" s="22">
        <f t="shared" si="9"/>
        <v>0</v>
      </c>
      <c r="W127" s="49">
        <f t="shared" si="10"/>
        <v>36.590000000000003</v>
      </c>
      <c r="X127" s="28">
        <f t="shared" si="11"/>
        <v>22</v>
      </c>
    </row>
    <row r="128" spans="4:24" ht="15" x14ac:dyDescent="0.25">
      <c r="D128" s="53">
        <v>123</v>
      </c>
      <c r="E128" s="52" t="s">
        <v>144</v>
      </c>
      <c r="F128" s="54">
        <v>1</v>
      </c>
      <c r="G128" s="56">
        <v>79</v>
      </c>
      <c r="H128" s="61">
        <v>0.36587366694011503</v>
      </c>
      <c r="I128" s="56">
        <v>30.841999999999999</v>
      </c>
      <c r="J128" s="59" t="s">
        <v>107</v>
      </c>
      <c r="K128" s="73" t="s">
        <v>301</v>
      </c>
      <c r="L128" s="79" t="e">
        <v>#VALUE!</v>
      </c>
      <c r="M128" s="69" t="e">
        <f t="shared" si="6"/>
        <v>#VALUE!</v>
      </c>
      <c r="N128" s="70" t="s">
        <v>306</v>
      </c>
      <c r="O128" s="76">
        <f t="shared" si="7"/>
        <v>1</v>
      </c>
      <c r="P128" s="76" t="e">
        <f t="shared" si="8"/>
        <v>#VALUE!</v>
      </c>
      <c r="Q128" s="77"/>
      <c r="R128" s="27">
        <v>0</v>
      </c>
      <c r="T128" s="22">
        <f t="shared" si="9"/>
        <v>0</v>
      </c>
      <c r="W128" s="49">
        <f t="shared" si="10"/>
        <v>36.590000000000003</v>
      </c>
      <c r="X128" s="28">
        <f t="shared" si="11"/>
        <v>31</v>
      </c>
    </row>
    <row r="129" spans="4:24" ht="15" x14ac:dyDescent="0.25">
      <c r="D129" s="53">
        <v>124</v>
      </c>
      <c r="E129" s="52" t="s">
        <v>51</v>
      </c>
      <c r="F129" s="54">
        <v>4</v>
      </c>
      <c r="G129" s="56">
        <v>75</v>
      </c>
      <c r="H129" s="61">
        <v>0.36477987421383601</v>
      </c>
      <c r="I129" s="56">
        <v>37.607999999999997</v>
      </c>
      <c r="J129" s="59" t="s">
        <v>9</v>
      </c>
      <c r="K129" s="73" t="s">
        <v>301</v>
      </c>
      <c r="L129" s="79" t="e">
        <v>#VALUE!</v>
      </c>
      <c r="M129" s="69" t="e">
        <f t="shared" si="6"/>
        <v>#VALUE!</v>
      </c>
      <c r="N129" s="70" t="s">
        <v>306</v>
      </c>
      <c r="O129" s="76">
        <f t="shared" si="7"/>
        <v>1</v>
      </c>
      <c r="P129" s="76" t="e">
        <f t="shared" si="8"/>
        <v>#VALUE!</v>
      </c>
      <c r="Q129" s="77"/>
      <c r="R129" s="27">
        <v>0</v>
      </c>
      <c r="T129" s="22">
        <f t="shared" si="9"/>
        <v>0</v>
      </c>
      <c r="W129" s="49">
        <f t="shared" si="10"/>
        <v>36.479999999999997</v>
      </c>
      <c r="X129" s="28">
        <f t="shared" si="11"/>
        <v>38</v>
      </c>
    </row>
    <row r="130" spans="4:24" ht="15" x14ac:dyDescent="0.25">
      <c r="D130" s="53">
        <v>125</v>
      </c>
      <c r="E130" s="52" t="s">
        <v>52</v>
      </c>
      <c r="F130" s="54">
        <v>3</v>
      </c>
      <c r="G130" s="56">
        <v>75</v>
      </c>
      <c r="H130" s="61">
        <v>0.36477987421383601</v>
      </c>
      <c r="I130" s="56">
        <v>38.795999999999999</v>
      </c>
      <c r="J130" s="59" t="s">
        <v>9</v>
      </c>
      <c r="K130" s="73" t="s">
        <v>301</v>
      </c>
      <c r="L130" s="79" t="e">
        <v>#VALUE!</v>
      </c>
      <c r="M130" s="69" t="e">
        <f t="shared" si="6"/>
        <v>#VALUE!</v>
      </c>
      <c r="N130" s="70" t="s">
        <v>306</v>
      </c>
      <c r="O130" s="76">
        <f t="shared" si="7"/>
        <v>1</v>
      </c>
      <c r="P130" s="76" t="e">
        <f t="shared" si="8"/>
        <v>#VALUE!</v>
      </c>
      <c r="Q130" s="77"/>
      <c r="R130" s="27">
        <v>0</v>
      </c>
      <c r="T130" s="22">
        <f t="shared" si="9"/>
        <v>0</v>
      </c>
      <c r="W130" s="49">
        <f t="shared" si="10"/>
        <v>36.479999999999997</v>
      </c>
      <c r="X130" s="28">
        <f t="shared" si="11"/>
        <v>39</v>
      </c>
    </row>
    <row r="131" spans="4:24" ht="15" x14ac:dyDescent="0.25">
      <c r="D131" s="53">
        <v>126</v>
      </c>
      <c r="E131" s="52" t="s">
        <v>176</v>
      </c>
      <c r="F131" s="54">
        <v>1</v>
      </c>
      <c r="G131" s="56">
        <v>72</v>
      </c>
      <c r="H131" s="61">
        <v>0.36395952966912798</v>
      </c>
      <c r="I131" s="56">
        <v>11.938000000000001</v>
      </c>
      <c r="J131" s="59" t="s">
        <v>9</v>
      </c>
      <c r="K131" s="73" t="s">
        <v>301</v>
      </c>
      <c r="L131" s="79" t="e">
        <v>#VALUE!</v>
      </c>
      <c r="M131" s="69" t="e">
        <f t="shared" ref="L131:M194" si="12">MID(N131,1,P131-1)</f>
        <v>#VALUE!</v>
      </c>
      <c r="N131" s="70" t="s">
        <v>306</v>
      </c>
      <c r="O131" s="76">
        <f t="shared" ref="O131:O194" si="13">LEN(N131)</f>
        <v>1</v>
      </c>
      <c r="P131" s="76" t="e">
        <f t="shared" ref="P131:P194" si="14">FIND("e",N131)</f>
        <v>#VALUE!</v>
      </c>
      <c r="Q131" s="77"/>
      <c r="R131" s="27">
        <v>0</v>
      </c>
      <c r="T131" s="22">
        <f t="shared" ref="T131:T177" si="15">R131+S131</f>
        <v>0</v>
      </c>
      <c r="W131" s="49">
        <f t="shared" ref="W131:W194" si="16">ROUND(H131*100,2)</f>
        <v>36.4</v>
      </c>
      <c r="X131" s="28">
        <f t="shared" ref="X131:X194" si="17">ROUND(I131,0)</f>
        <v>12</v>
      </c>
    </row>
    <row r="132" spans="4:24" ht="15" x14ac:dyDescent="0.25">
      <c r="D132" s="53">
        <v>127</v>
      </c>
      <c r="E132" s="52" t="s">
        <v>145</v>
      </c>
      <c r="F132" s="54">
        <v>1</v>
      </c>
      <c r="G132" s="56">
        <v>72</v>
      </c>
      <c r="H132" s="61">
        <v>0.36395952966912798</v>
      </c>
      <c r="I132" s="56">
        <v>20.059999999999999</v>
      </c>
      <c r="J132" s="59" t="s">
        <v>107</v>
      </c>
      <c r="K132" s="73" t="s">
        <v>301</v>
      </c>
      <c r="L132" s="79" t="e">
        <v>#VALUE!</v>
      </c>
      <c r="M132" s="69" t="e">
        <f t="shared" si="12"/>
        <v>#VALUE!</v>
      </c>
      <c r="N132" s="70" t="s">
        <v>306</v>
      </c>
      <c r="O132" s="76">
        <f t="shared" si="13"/>
        <v>1</v>
      </c>
      <c r="P132" s="76" t="e">
        <f t="shared" si="14"/>
        <v>#VALUE!</v>
      </c>
      <c r="Q132" s="77"/>
      <c r="R132" s="27">
        <v>0</v>
      </c>
      <c r="T132" s="22">
        <f t="shared" si="15"/>
        <v>0</v>
      </c>
      <c r="W132" s="49">
        <f t="shared" si="16"/>
        <v>36.4</v>
      </c>
      <c r="X132" s="28">
        <f t="shared" si="17"/>
        <v>20</v>
      </c>
    </row>
    <row r="133" spans="4:24" ht="15" x14ac:dyDescent="0.25">
      <c r="D133" s="53">
        <v>128</v>
      </c>
      <c r="E133" s="52" t="s">
        <v>174</v>
      </c>
      <c r="F133" s="54">
        <v>2</v>
      </c>
      <c r="G133" s="56">
        <v>72</v>
      </c>
      <c r="H133" s="61">
        <v>0.36395952966912798</v>
      </c>
      <c r="I133" s="56">
        <v>25.946999999999999</v>
      </c>
      <c r="J133" s="59" t="s">
        <v>9</v>
      </c>
      <c r="K133" s="73" t="s">
        <v>301</v>
      </c>
      <c r="L133" s="79" t="e">
        <v>#VALUE!</v>
      </c>
      <c r="M133" s="69" t="e">
        <f t="shared" si="12"/>
        <v>#VALUE!</v>
      </c>
      <c r="N133" s="70" t="s">
        <v>306</v>
      </c>
      <c r="O133" s="76">
        <f t="shared" si="13"/>
        <v>1</v>
      </c>
      <c r="P133" s="76" t="e">
        <f t="shared" si="14"/>
        <v>#VALUE!</v>
      </c>
      <c r="Q133" s="77"/>
      <c r="R133" s="27">
        <v>0</v>
      </c>
      <c r="T133" s="22">
        <f t="shared" si="15"/>
        <v>0</v>
      </c>
      <c r="W133" s="49">
        <f t="shared" si="16"/>
        <v>36.4</v>
      </c>
      <c r="X133" s="28">
        <f t="shared" si="17"/>
        <v>26</v>
      </c>
    </row>
    <row r="134" spans="4:24" ht="15" x14ac:dyDescent="0.25">
      <c r="D134" s="53">
        <v>129</v>
      </c>
      <c r="E134" s="52" t="s">
        <v>146</v>
      </c>
      <c r="F134" s="54">
        <v>1</v>
      </c>
      <c r="G134" s="56">
        <v>72</v>
      </c>
      <c r="H134" s="61">
        <v>0.36395952966912798</v>
      </c>
      <c r="I134" s="56">
        <v>25.995999999999999</v>
      </c>
      <c r="J134" s="59" t="s">
        <v>107</v>
      </c>
      <c r="K134" s="73" t="s">
        <v>301</v>
      </c>
      <c r="L134" s="79" t="e">
        <v>#VALUE!</v>
      </c>
      <c r="M134" s="69" t="e">
        <f t="shared" si="12"/>
        <v>#VALUE!</v>
      </c>
      <c r="N134" s="70" t="s">
        <v>306</v>
      </c>
      <c r="O134" s="76">
        <f t="shared" si="13"/>
        <v>1</v>
      </c>
      <c r="P134" s="76" t="e">
        <f t="shared" si="14"/>
        <v>#VALUE!</v>
      </c>
      <c r="Q134" s="77"/>
      <c r="R134" s="27">
        <v>0</v>
      </c>
      <c r="T134" s="22">
        <f t="shared" si="15"/>
        <v>0</v>
      </c>
      <c r="W134" s="49">
        <f t="shared" si="16"/>
        <v>36.4</v>
      </c>
      <c r="X134" s="28">
        <f t="shared" si="17"/>
        <v>26</v>
      </c>
    </row>
    <row r="135" spans="4:24" ht="15" x14ac:dyDescent="0.25">
      <c r="D135" s="53">
        <v>130</v>
      </c>
      <c r="E135" s="52" t="s">
        <v>147</v>
      </c>
      <c r="F135" s="54">
        <v>16</v>
      </c>
      <c r="G135" s="56">
        <v>72</v>
      </c>
      <c r="H135" s="61">
        <v>0.36395952966912798</v>
      </c>
      <c r="I135" s="56">
        <v>77.995999999999995</v>
      </c>
      <c r="J135" s="59" t="s">
        <v>107</v>
      </c>
      <c r="K135" s="73" t="s">
        <v>279</v>
      </c>
      <c r="L135" s="79" t="s">
        <v>504</v>
      </c>
      <c r="M135" s="69" t="str">
        <f t="shared" si="12"/>
        <v>13114126204</v>
      </c>
      <c r="N135" s="77" t="s">
        <v>395</v>
      </c>
      <c r="O135" s="76">
        <f t="shared" si="13"/>
        <v>16</v>
      </c>
      <c r="P135" s="76">
        <f t="shared" si="14"/>
        <v>12</v>
      </c>
      <c r="Q135" s="77"/>
      <c r="R135" s="27">
        <v>0</v>
      </c>
      <c r="T135" s="22">
        <f t="shared" si="15"/>
        <v>0</v>
      </c>
      <c r="W135" s="49">
        <f t="shared" si="16"/>
        <v>36.4</v>
      </c>
      <c r="X135" s="28">
        <f t="shared" si="17"/>
        <v>78</v>
      </c>
    </row>
    <row r="136" spans="4:24" ht="15" x14ac:dyDescent="0.25">
      <c r="D136" s="53">
        <v>131</v>
      </c>
      <c r="E136" s="52" t="s">
        <v>55</v>
      </c>
      <c r="F136" s="54">
        <v>2</v>
      </c>
      <c r="G136" s="56">
        <v>68</v>
      </c>
      <c r="H136" s="61">
        <v>0.36286573694284902</v>
      </c>
      <c r="I136" s="56">
        <v>23.669</v>
      </c>
      <c r="J136" s="59" t="s">
        <v>9</v>
      </c>
      <c r="K136" s="73" t="s">
        <v>301</v>
      </c>
      <c r="L136" s="79" t="e">
        <v>#VALUE!</v>
      </c>
      <c r="M136" s="69" t="e">
        <f t="shared" si="12"/>
        <v>#VALUE!</v>
      </c>
      <c r="N136" s="70" t="s">
        <v>306</v>
      </c>
      <c r="O136" s="76">
        <f t="shared" si="13"/>
        <v>1</v>
      </c>
      <c r="P136" s="76" t="e">
        <f t="shared" si="14"/>
        <v>#VALUE!</v>
      </c>
      <c r="Q136" s="77"/>
      <c r="R136" s="27">
        <v>0</v>
      </c>
      <c r="T136" s="22">
        <f t="shared" si="15"/>
        <v>0</v>
      </c>
      <c r="W136" s="49">
        <f t="shared" si="16"/>
        <v>36.29</v>
      </c>
      <c r="X136" s="28">
        <f t="shared" si="17"/>
        <v>24</v>
      </c>
    </row>
    <row r="137" spans="4:24" ht="15" x14ac:dyDescent="0.25">
      <c r="D137" s="53">
        <v>132</v>
      </c>
      <c r="E137" s="52" t="s">
        <v>148</v>
      </c>
      <c r="F137" s="54">
        <v>3</v>
      </c>
      <c r="G137" s="56">
        <v>57</v>
      </c>
      <c r="H137" s="61">
        <v>0.359857806945584</v>
      </c>
      <c r="I137" s="56">
        <v>24.43</v>
      </c>
      <c r="J137" s="59" t="s">
        <v>107</v>
      </c>
      <c r="K137" s="73" t="s">
        <v>301</v>
      </c>
      <c r="L137" s="79" t="e">
        <v>#VALUE!</v>
      </c>
      <c r="M137" s="69" t="e">
        <f t="shared" si="12"/>
        <v>#VALUE!</v>
      </c>
      <c r="N137" s="70" t="s">
        <v>306</v>
      </c>
      <c r="O137" s="76">
        <f t="shared" si="13"/>
        <v>1</v>
      </c>
      <c r="P137" s="76" t="e">
        <f t="shared" si="14"/>
        <v>#VALUE!</v>
      </c>
      <c r="Q137" s="77"/>
      <c r="R137" s="27">
        <v>0</v>
      </c>
      <c r="T137" s="22">
        <f t="shared" si="15"/>
        <v>0</v>
      </c>
      <c r="W137" s="49">
        <f t="shared" si="16"/>
        <v>35.99</v>
      </c>
      <c r="X137" s="28">
        <f t="shared" si="17"/>
        <v>24</v>
      </c>
    </row>
    <row r="138" spans="4:24" ht="15" x14ac:dyDescent="0.25">
      <c r="D138" s="53">
        <v>133</v>
      </c>
      <c r="E138" s="52" t="s">
        <v>149</v>
      </c>
      <c r="F138" s="54">
        <v>2</v>
      </c>
      <c r="G138" s="56">
        <v>55</v>
      </c>
      <c r="H138" s="61">
        <v>0.35931091058244502</v>
      </c>
      <c r="I138" s="56">
        <v>39.11</v>
      </c>
      <c r="J138" s="59" t="s">
        <v>107</v>
      </c>
      <c r="K138" s="73" t="s">
        <v>301</v>
      </c>
      <c r="L138" s="79" t="e">
        <v>#VALUE!</v>
      </c>
      <c r="M138" s="69" t="e">
        <f t="shared" si="12"/>
        <v>#VALUE!</v>
      </c>
      <c r="N138" s="70" t="s">
        <v>306</v>
      </c>
      <c r="O138" s="76">
        <f t="shared" si="13"/>
        <v>1</v>
      </c>
      <c r="P138" s="76" t="e">
        <f t="shared" si="14"/>
        <v>#VALUE!</v>
      </c>
      <c r="Q138" s="77"/>
      <c r="R138" s="27">
        <v>0</v>
      </c>
      <c r="T138" s="22">
        <f t="shared" si="15"/>
        <v>0</v>
      </c>
      <c r="W138" s="49">
        <f t="shared" si="16"/>
        <v>35.93</v>
      </c>
      <c r="X138" s="28">
        <f t="shared" si="17"/>
        <v>39</v>
      </c>
    </row>
    <row r="139" spans="4:24" ht="15" x14ac:dyDescent="0.25">
      <c r="D139" s="53">
        <v>134</v>
      </c>
      <c r="E139" s="52" t="s">
        <v>186</v>
      </c>
      <c r="F139" s="54">
        <v>1</v>
      </c>
      <c r="G139" s="56">
        <v>52</v>
      </c>
      <c r="H139" s="61">
        <v>0.35849056603773599</v>
      </c>
      <c r="I139" s="56">
        <v>7.0309999999999997</v>
      </c>
      <c r="J139" s="59" t="s">
        <v>107</v>
      </c>
      <c r="K139" s="73" t="s">
        <v>301</v>
      </c>
      <c r="L139" s="79" t="e">
        <v>#VALUE!</v>
      </c>
      <c r="M139" s="69" t="e">
        <f t="shared" si="12"/>
        <v>#VALUE!</v>
      </c>
      <c r="N139" s="70" t="s">
        <v>306</v>
      </c>
      <c r="O139" s="76">
        <f t="shared" si="13"/>
        <v>1</v>
      </c>
      <c r="P139" s="76" t="e">
        <f t="shared" si="14"/>
        <v>#VALUE!</v>
      </c>
      <c r="Q139" s="77"/>
      <c r="R139" s="27">
        <v>0</v>
      </c>
      <c r="T139" s="22">
        <f t="shared" si="15"/>
        <v>0</v>
      </c>
      <c r="W139" s="49">
        <f t="shared" si="16"/>
        <v>35.85</v>
      </c>
      <c r="X139" s="28">
        <f t="shared" si="17"/>
        <v>7</v>
      </c>
    </row>
    <row r="140" spans="4:24" ht="15" x14ac:dyDescent="0.25">
      <c r="D140" s="53">
        <v>135</v>
      </c>
      <c r="E140" s="52" t="s">
        <v>46</v>
      </c>
      <c r="F140" s="54">
        <v>1</v>
      </c>
      <c r="G140" s="56">
        <v>52</v>
      </c>
      <c r="H140" s="61">
        <v>0.35849056603773599</v>
      </c>
      <c r="I140" s="56">
        <v>12.191000000000001</v>
      </c>
      <c r="J140" s="59" t="s">
        <v>9</v>
      </c>
      <c r="K140" s="73" t="s">
        <v>301</v>
      </c>
      <c r="L140" s="79" t="e">
        <v>#VALUE!</v>
      </c>
      <c r="M140" s="69" t="e">
        <f t="shared" si="12"/>
        <v>#VALUE!</v>
      </c>
      <c r="N140" s="70" t="s">
        <v>306</v>
      </c>
      <c r="O140" s="76">
        <f t="shared" si="13"/>
        <v>1</v>
      </c>
      <c r="P140" s="76" t="e">
        <f t="shared" si="14"/>
        <v>#VALUE!</v>
      </c>
      <c r="Q140" s="77"/>
      <c r="R140" s="27">
        <v>0</v>
      </c>
      <c r="T140" s="22">
        <f t="shared" si="15"/>
        <v>0</v>
      </c>
      <c r="W140" s="49">
        <f t="shared" si="16"/>
        <v>35.85</v>
      </c>
      <c r="X140" s="28">
        <f t="shared" si="17"/>
        <v>12</v>
      </c>
    </row>
    <row r="141" spans="4:24" ht="15" x14ac:dyDescent="0.25">
      <c r="D141" s="53">
        <v>136</v>
      </c>
      <c r="E141" s="52" t="s">
        <v>53</v>
      </c>
      <c r="F141" s="54">
        <v>1</v>
      </c>
      <c r="G141" s="56">
        <v>52</v>
      </c>
      <c r="H141" s="61">
        <v>0.35849056603773599</v>
      </c>
      <c r="I141" s="56">
        <v>17.378</v>
      </c>
      <c r="J141" s="59" t="s">
        <v>9</v>
      </c>
      <c r="K141" s="73" t="s">
        <v>301</v>
      </c>
      <c r="L141" s="79" t="e">
        <v>#VALUE!</v>
      </c>
      <c r="M141" s="69" t="e">
        <f t="shared" si="12"/>
        <v>#VALUE!</v>
      </c>
      <c r="N141" s="70" t="s">
        <v>306</v>
      </c>
      <c r="O141" s="76">
        <f t="shared" si="13"/>
        <v>1</v>
      </c>
      <c r="P141" s="76" t="e">
        <f t="shared" si="14"/>
        <v>#VALUE!</v>
      </c>
      <c r="Q141" s="77"/>
      <c r="R141" s="27">
        <v>0</v>
      </c>
      <c r="T141" s="22">
        <f t="shared" si="15"/>
        <v>0</v>
      </c>
      <c r="W141" s="49">
        <f t="shared" si="16"/>
        <v>35.85</v>
      </c>
      <c r="X141" s="28">
        <f t="shared" si="17"/>
        <v>17</v>
      </c>
    </row>
    <row r="142" spans="4:24" ht="15" x14ac:dyDescent="0.25">
      <c r="D142" s="53">
        <v>137</v>
      </c>
      <c r="E142" s="52" t="s">
        <v>54</v>
      </c>
      <c r="F142" s="54">
        <v>1</v>
      </c>
      <c r="G142" s="56">
        <v>46</v>
      </c>
      <c r="H142" s="61">
        <v>0.35684987694831799</v>
      </c>
      <c r="I142" s="56">
        <v>19.344999999999999</v>
      </c>
      <c r="J142" s="59" t="s">
        <v>9</v>
      </c>
      <c r="K142" s="73" t="s">
        <v>301</v>
      </c>
      <c r="L142" s="79" t="e">
        <v>#VALUE!</v>
      </c>
      <c r="M142" s="69" t="e">
        <f t="shared" si="12"/>
        <v>#VALUE!</v>
      </c>
      <c r="N142" s="70" t="s">
        <v>306</v>
      </c>
      <c r="O142" s="76">
        <f t="shared" si="13"/>
        <v>1</v>
      </c>
      <c r="P142" s="76" t="e">
        <f t="shared" si="14"/>
        <v>#VALUE!</v>
      </c>
      <c r="Q142" s="77"/>
      <c r="R142" s="27">
        <v>0</v>
      </c>
      <c r="T142" s="22">
        <f t="shared" si="15"/>
        <v>0</v>
      </c>
      <c r="W142" s="49">
        <f t="shared" si="16"/>
        <v>35.68</v>
      </c>
      <c r="X142" s="28">
        <f t="shared" si="17"/>
        <v>19</v>
      </c>
    </row>
    <row r="143" spans="4:24" ht="15" x14ac:dyDescent="0.25">
      <c r="D143" s="53">
        <v>138</v>
      </c>
      <c r="E143" s="52" t="s">
        <v>152</v>
      </c>
      <c r="F143" s="54">
        <v>14</v>
      </c>
      <c r="G143" s="56">
        <v>25</v>
      </c>
      <c r="H143" s="61">
        <v>0.35110746513535701</v>
      </c>
      <c r="I143" s="56">
        <v>97.343000000000004</v>
      </c>
      <c r="J143" s="59" t="s">
        <v>107</v>
      </c>
      <c r="K143" s="73" t="s">
        <v>301</v>
      </c>
      <c r="L143" s="79" t="e">
        <v>#VALUE!</v>
      </c>
      <c r="M143" s="69" t="e">
        <f t="shared" si="12"/>
        <v>#VALUE!</v>
      </c>
      <c r="N143" s="70" t="s">
        <v>306</v>
      </c>
      <c r="O143" s="76">
        <f t="shared" si="13"/>
        <v>1</v>
      </c>
      <c r="P143" s="76" t="e">
        <f t="shared" si="14"/>
        <v>#VALUE!</v>
      </c>
      <c r="Q143" s="77"/>
      <c r="R143" s="27">
        <v>0</v>
      </c>
      <c r="T143" s="22">
        <f t="shared" si="15"/>
        <v>0</v>
      </c>
      <c r="W143" s="49">
        <f t="shared" si="16"/>
        <v>35.11</v>
      </c>
      <c r="X143" s="28">
        <f t="shared" si="17"/>
        <v>97</v>
      </c>
    </row>
    <row r="144" spans="4:24" ht="15" x14ac:dyDescent="0.25">
      <c r="D144" s="53">
        <v>139</v>
      </c>
      <c r="E144" s="52" t="s">
        <v>153</v>
      </c>
      <c r="F144" s="54">
        <v>1</v>
      </c>
      <c r="G144" s="56">
        <v>0</v>
      </c>
      <c r="H144" s="61">
        <v>0.34427126059611701</v>
      </c>
      <c r="I144" s="56">
        <v>9.3620000000000001</v>
      </c>
      <c r="J144" s="59" t="s">
        <v>107</v>
      </c>
      <c r="K144" s="73" t="s">
        <v>301</v>
      </c>
      <c r="L144" s="79" t="e">
        <v>#VALUE!</v>
      </c>
      <c r="M144" s="69" t="e">
        <f t="shared" si="12"/>
        <v>#VALUE!</v>
      </c>
      <c r="N144" s="70" t="s">
        <v>306</v>
      </c>
      <c r="O144" s="76">
        <f t="shared" si="13"/>
        <v>1</v>
      </c>
      <c r="P144" s="76" t="e">
        <f t="shared" si="14"/>
        <v>#VALUE!</v>
      </c>
      <c r="Q144" s="77"/>
      <c r="R144" s="27">
        <v>0</v>
      </c>
      <c r="T144" s="22">
        <f t="shared" si="15"/>
        <v>0</v>
      </c>
      <c r="W144" s="49">
        <f t="shared" si="16"/>
        <v>34.43</v>
      </c>
      <c r="X144" s="28">
        <f t="shared" si="17"/>
        <v>9</v>
      </c>
    </row>
    <row r="145" spans="4:24" ht="15" x14ac:dyDescent="0.25">
      <c r="D145" s="53">
        <v>140</v>
      </c>
      <c r="E145" s="52" t="s">
        <v>190</v>
      </c>
      <c r="F145" s="54">
        <v>16</v>
      </c>
      <c r="G145" s="56">
        <v>0</v>
      </c>
      <c r="H145" s="61">
        <v>0.34427126059611701</v>
      </c>
      <c r="I145" s="56">
        <v>181.102</v>
      </c>
      <c r="J145" s="59" t="s">
        <v>107</v>
      </c>
      <c r="K145" s="73" t="s">
        <v>282</v>
      </c>
      <c r="L145" s="79" t="s">
        <v>505</v>
      </c>
      <c r="M145" s="69" t="str">
        <f t="shared" si="12"/>
        <v>78141348564</v>
      </c>
      <c r="N145" s="77" t="s">
        <v>396</v>
      </c>
      <c r="O145" s="76">
        <f t="shared" si="13"/>
        <v>16</v>
      </c>
      <c r="P145" s="76">
        <f t="shared" si="14"/>
        <v>12</v>
      </c>
      <c r="Q145" s="77"/>
      <c r="R145" s="27">
        <v>0</v>
      </c>
      <c r="T145" s="22">
        <f t="shared" si="15"/>
        <v>0</v>
      </c>
      <c r="W145" s="49">
        <f t="shared" si="16"/>
        <v>34.43</v>
      </c>
      <c r="X145" s="28">
        <f t="shared" si="17"/>
        <v>181</v>
      </c>
    </row>
    <row r="146" spans="4:24" ht="15" x14ac:dyDescent="0.25">
      <c r="D146" s="53">
        <v>141</v>
      </c>
      <c r="E146" s="52" t="s">
        <v>154</v>
      </c>
      <c r="F146" s="54">
        <v>16</v>
      </c>
      <c r="G146" s="56">
        <v>0</v>
      </c>
      <c r="H146" s="61">
        <v>0.34427126059611701</v>
      </c>
      <c r="I146" s="56">
        <v>191.541</v>
      </c>
      <c r="J146" s="59" t="s">
        <v>107</v>
      </c>
      <c r="K146" s="73" t="s">
        <v>283</v>
      </c>
      <c r="L146" s="79" t="s">
        <v>506</v>
      </c>
      <c r="M146" s="69" t="str">
        <f t="shared" si="12"/>
        <v>22814130612</v>
      </c>
      <c r="N146" s="77" t="s">
        <v>397</v>
      </c>
      <c r="O146" s="76">
        <f t="shared" si="13"/>
        <v>16</v>
      </c>
      <c r="P146" s="76">
        <f t="shared" si="14"/>
        <v>12</v>
      </c>
      <c r="Q146" s="77"/>
      <c r="R146" s="27">
        <v>0</v>
      </c>
      <c r="T146" s="22">
        <f t="shared" si="15"/>
        <v>0</v>
      </c>
      <c r="W146" s="49">
        <f t="shared" si="16"/>
        <v>34.43</v>
      </c>
      <c r="X146" s="28">
        <f t="shared" si="17"/>
        <v>192</v>
      </c>
    </row>
    <row r="147" spans="4:24" ht="15" x14ac:dyDescent="0.25">
      <c r="D147" s="53">
        <v>142</v>
      </c>
      <c r="E147" s="52" t="s">
        <v>87</v>
      </c>
      <c r="F147" s="54">
        <v>16</v>
      </c>
      <c r="G147" s="56">
        <v>953.5</v>
      </c>
      <c r="H147" s="61">
        <v>0.34146735617323898</v>
      </c>
      <c r="I147" s="56">
        <v>389.35599999999999</v>
      </c>
      <c r="J147" s="59" t="s">
        <v>65</v>
      </c>
      <c r="K147" s="73" t="s">
        <v>284</v>
      </c>
      <c r="L147" s="79" t="s">
        <v>507</v>
      </c>
      <c r="M147" s="69" t="str">
        <f t="shared" si="12"/>
        <v>54914127424</v>
      </c>
      <c r="N147" s="77" t="s">
        <v>398</v>
      </c>
      <c r="O147" s="76">
        <f t="shared" si="13"/>
        <v>16</v>
      </c>
      <c r="P147" s="76">
        <f t="shared" si="14"/>
        <v>12</v>
      </c>
      <c r="Q147" s="77"/>
      <c r="R147" s="27">
        <v>0</v>
      </c>
      <c r="T147" s="22">
        <f t="shared" si="15"/>
        <v>0</v>
      </c>
      <c r="W147" s="49">
        <f t="shared" si="16"/>
        <v>34.15</v>
      </c>
      <c r="X147" s="28">
        <f t="shared" si="17"/>
        <v>389</v>
      </c>
    </row>
    <row r="148" spans="4:24" ht="15" x14ac:dyDescent="0.25">
      <c r="D148" s="53">
        <v>143</v>
      </c>
      <c r="E148" s="52" t="s">
        <v>123</v>
      </c>
      <c r="F148" s="54">
        <v>16</v>
      </c>
      <c r="G148" s="56">
        <v>-25</v>
      </c>
      <c r="H148" s="61">
        <v>0.33743505605687701</v>
      </c>
      <c r="I148" s="56">
        <v>163.01300000000001</v>
      </c>
      <c r="J148" s="59" t="s">
        <v>107</v>
      </c>
      <c r="K148" s="73" t="s">
        <v>281</v>
      </c>
      <c r="L148" s="79" t="s">
        <v>508</v>
      </c>
      <c r="M148" s="69" t="str">
        <f t="shared" si="12"/>
        <v>84414126216</v>
      </c>
      <c r="N148" s="77" t="s">
        <v>399</v>
      </c>
      <c r="O148" s="76">
        <f t="shared" si="13"/>
        <v>16</v>
      </c>
      <c r="P148" s="76">
        <f t="shared" si="14"/>
        <v>12</v>
      </c>
      <c r="Q148" s="77"/>
      <c r="R148" s="27">
        <v>0</v>
      </c>
      <c r="T148" s="22">
        <f t="shared" si="15"/>
        <v>0</v>
      </c>
      <c r="W148" s="49">
        <f t="shared" si="16"/>
        <v>33.74</v>
      </c>
      <c r="X148" s="28">
        <f t="shared" si="17"/>
        <v>163</v>
      </c>
    </row>
    <row r="149" spans="4:24" ht="15" x14ac:dyDescent="0.25">
      <c r="D149" s="53">
        <v>144</v>
      </c>
      <c r="E149" s="52" t="s">
        <v>29</v>
      </c>
      <c r="F149" s="54">
        <v>16</v>
      </c>
      <c r="G149" s="56">
        <v>-41</v>
      </c>
      <c r="H149" s="61">
        <v>0.33305988515176399</v>
      </c>
      <c r="I149" s="56">
        <v>91.013999999999996</v>
      </c>
      <c r="J149" s="59" t="s">
        <v>9</v>
      </c>
      <c r="K149" s="73" t="s">
        <v>286</v>
      </c>
      <c r="L149" s="79" t="s">
        <v>509</v>
      </c>
      <c r="M149" s="69" t="str">
        <f t="shared" si="12"/>
        <v>50514126237</v>
      </c>
      <c r="N149" s="77" t="s">
        <v>400</v>
      </c>
      <c r="O149" s="76">
        <f t="shared" si="13"/>
        <v>16</v>
      </c>
      <c r="P149" s="76">
        <f t="shared" si="14"/>
        <v>12</v>
      </c>
      <c r="Q149" s="77"/>
      <c r="R149" s="27">
        <v>0</v>
      </c>
      <c r="T149" s="22">
        <f t="shared" si="15"/>
        <v>0</v>
      </c>
      <c r="W149" s="49">
        <f t="shared" si="16"/>
        <v>33.31</v>
      </c>
      <c r="X149" s="28">
        <f t="shared" si="17"/>
        <v>91</v>
      </c>
    </row>
    <row r="150" spans="4:24" ht="15" x14ac:dyDescent="0.25">
      <c r="D150" s="53">
        <v>145</v>
      </c>
      <c r="E150" s="52" t="s">
        <v>178</v>
      </c>
      <c r="F150" s="54">
        <v>16</v>
      </c>
      <c r="G150" s="56">
        <v>911.46666666666704</v>
      </c>
      <c r="H150" s="61">
        <v>0.327881921999569</v>
      </c>
      <c r="I150" s="56">
        <v>142.80799999999999</v>
      </c>
      <c r="J150" s="59" t="s">
        <v>65</v>
      </c>
      <c r="K150" s="73" t="s">
        <v>287</v>
      </c>
      <c r="L150" s="79" t="s">
        <v>510</v>
      </c>
      <c r="M150" s="69" t="str">
        <f t="shared" si="12"/>
        <v>61714132395</v>
      </c>
      <c r="N150" s="77" t="s">
        <v>401</v>
      </c>
      <c r="O150" s="76">
        <f t="shared" si="13"/>
        <v>16</v>
      </c>
      <c r="P150" s="76">
        <f t="shared" si="14"/>
        <v>12</v>
      </c>
      <c r="Q150" s="77"/>
      <c r="R150" s="27">
        <v>0</v>
      </c>
      <c r="S150" s="49">
        <v>25</v>
      </c>
      <c r="T150" s="22">
        <f t="shared" si="15"/>
        <v>25</v>
      </c>
      <c r="W150" s="49">
        <f t="shared" si="16"/>
        <v>32.79</v>
      </c>
      <c r="X150" s="28">
        <f t="shared" si="17"/>
        <v>143</v>
      </c>
    </row>
    <row r="151" spans="4:24" ht="15" x14ac:dyDescent="0.25">
      <c r="D151" s="53">
        <v>146</v>
      </c>
      <c r="E151" s="52" t="s">
        <v>57</v>
      </c>
      <c r="F151" s="54">
        <v>16</v>
      </c>
      <c r="G151" s="56">
        <v>-71</v>
      </c>
      <c r="H151" s="61">
        <v>0.32485643970467598</v>
      </c>
      <c r="I151" s="56">
        <v>125.34399999999999</v>
      </c>
      <c r="J151" s="59" t="s">
        <v>9</v>
      </c>
      <c r="K151" s="73" t="s">
        <v>288</v>
      </c>
      <c r="L151" s="79" t="s">
        <v>511</v>
      </c>
      <c r="M151" s="69" t="str">
        <f t="shared" si="12"/>
        <v>79914128436</v>
      </c>
      <c r="N151" s="77" t="s">
        <v>402</v>
      </c>
      <c r="O151" s="76">
        <f t="shared" si="13"/>
        <v>16</v>
      </c>
      <c r="P151" s="76">
        <f t="shared" si="14"/>
        <v>12</v>
      </c>
      <c r="Q151" s="77"/>
      <c r="R151" s="27">
        <v>0</v>
      </c>
      <c r="T151" s="22">
        <f t="shared" si="15"/>
        <v>0</v>
      </c>
      <c r="W151" s="49">
        <f t="shared" si="16"/>
        <v>32.49</v>
      </c>
      <c r="X151" s="28">
        <f t="shared" si="17"/>
        <v>125</v>
      </c>
    </row>
    <row r="152" spans="4:24" ht="15" x14ac:dyDescent="0.25">
      <c r="D152" s="53">
        <v>147</v>
      </c>
      <c r="E152" s="52" t="s">
        <v>59</v>
      </c>
      <c r="F152" s="54">
        <v>16</v>
      </c>
      <c r="G152" s="56">
        <v>-86</v>
      </c>
      <c r="H152" s="61">
        <v>0.320754716981132</v>
      </c>
      <c r="I152" s="56">
        <v>140.529</v>
      </c>
      <c r="J152" s="59" t="s">
        <v>9</v>
      </c>
      <c r="K152" s="73" t="s">
        <v>289</v>
      </c>
      <c r="L152" s="79" t="s">
        <v>512</v>
      </c>
      <c r="M152" s="69" t="str">
        <f t="shared" si="12"/>
        <v>97914126908</v>
      </c>
      <c r="N152" s="77" t="s">
        <v>403</v>
      </c>
      <c r="O152" s="76">
        <f t="shared" si="13"/>
        <v>16</v>
      </c>
      <c r="P152" s="76">
        <f t="shared" si="14"/>
        <v>12</v>
      </c>
      <c r="Q152" s="77"/>
      <c r="R152" s="27">
        <v>0</v>
      </c>
      <c r="T152" s="22">
        <f t="shared" si="15"/>
        <v>0</v>
      </c>
      <c r="W152" s="49">
        <f t="shared" si="16"/>
        <v>32.08</v>
      </c>
      <c r="X152" s="28">
        <f t="shared" si="17"/>
        <v>141</v>
      </c>
    </row>
    <row r="153" spans="4:24" ht="15" x14ac:dyDescent="0.25">
      <c r="D153" s="53">
        <v>148</v>
      </c>
      <c r="E153" s="52" t="s">
        <v>156</v>
      </c>
      <c r="F153" s="54">
        <v>16</v>
      </c>
      <c r="G153" s="56">
        <v>-95.5</v>
      </c>
      <c r="H153" s="61">
        <v>0.31815695925622101</v>
      </c>
      <c r="I153" s="56">
        <v>584.00800000000004</v>
      </c>
      <c r="J153" s="59" t="s">
        <v>107</v>
      </c>
      <c r="K153" s="73" t="s">
        <v>290</v>
      </c>
      <c r="L153" s="79" t="s">
        <v>513</v>
      </c>
      <c r="M153" s="69" t="str">
        <f t="shared" si="12"/>
        <v>53614126386</v>
      </c>
      <c r="N153" s="77" t="s">
        <v>404</v>
      </c>
      <c r="O153" s="76">
        <f t="shared" si="13"/>
        <v>16</v>
      </c>
      <c r="P153" s="76">
        <f t="shared" si="14"/>
        <v>12</v>
      </c>
      <c r="Q153" s="77"/>
      <c r="R153" s="27">
        <v>0</v>
      </c>
      <c r="T153" s="22">
        <f t="shared" si="15"/>
        <v>0</v>
      </c>
      <c r="W153" s="49">
        <f t="shared" si="16"/>
        <v>31.82</v>
      </c>
      <c r="X153" s="28">
        <f t="shared" si="17"/>
        <v>584</v>
      </c>
    </row>
    <row r="154" spans="4:24" ht="15" x14ac:dyDescent="0.25">
      <c r="D154" s="53">
        <v>149</v>
      </c>
      <c r="E154" s="52" t="s">
        <v>125</v>
      </c>
      <c r="F154" s="54">
        <v>16</v>
      </c>
      <c r="G154" s="56">
        <v>-139</v>
      </c>
      <c r="H154" s="61">
        <v>0.30626196335794398</v>
      </c>
      <c r="I154" s="56">
        <v>132.04499999999999</v>
      </c>
      <c r="J154" s="59" t="s">
        <v>107</v>
      </c>
      <c r="K154" s="73" t="s">
        <v>291</v>
      </c>
      <c r="L154" s="79" t="s">
        <v>514</v>
      </c>
      <c r="M154" s="69" t="str">
        <f t="shared" si="12"/>
        <v>49714126635</v>
      </c>
      <c r="N154" s="77" t="s">
        <v>405</v>
      </c>
      <c r="O154" s="76">
        <f t="shared" si="13"/>
        <v>16</v>
      </c>
      <c r="P154" s="76">
        <f t="shared" si="14"/>
        <v>12</v>
      </c>
      <c r="Q154" s="77"/>
      <c r="R154" s="27">
        <v>0</v>
      </c>
      <c r="T154" s="22">
        <f t="shared" si="15"/>
        <v>0</v>
      </c>
      <c r="W154" s="49">
        <f t="shared" si="16"/>
        <v>30.63</v>
      </c>
      <c r="X154" s="28">
        <f t="shared" si="17"/>
        <v>132</v>
      </c>
    </row>
    <row r="155" spans="4:24" ht="15" x14ac:dyDescent="0.25">
      <c r="D155" s="53">
        <v>150</v>
      </c>
      <c r="E155" s="52" t="s">
        <v>21</v>
      </c>
      <c r="F155" s="54">
        <v>16</v>
      </c>
      <c r="G155" s="56">
        <v>-195</v>
      </c>
      <c r="H155" s="61">
        <v>0.29094886519004598</v>
      </c>
      <c r="I155" s="56">
        <v>173.84</v>
      </c>
      <c r="J155" s="59" t="s">
        <v>9</v>
      </c>
      <c r="K155" s="73" t="s">
        <v>292</v>
      </c>
      <c r="L155" s="79" t="s">
        <v>515</v>
      </c>
      <c r="M155" s="69" t="str">
        <f t="shared" si="12"/>
        <v>37814126325</v>
      </c>
      <c r="N155" s="77" t="s">
        <v>406</v>
      </c>
      <c r="O155" s="76">
        <f t="shared" si="13"/>
        <v>16</v>
      </c>
      <c r="P155" s="76">
        <f t="shared" si="14"/>
        <v>12</v>
      </c>
      <c r="Q155" s="77"/>
      <c r="R155" s="27">
        <v>0</v>
      </c>
      <c r="T155" s="22">
        <f t="shared" si="15"/>
        <v>0</v>
      </c>
      <c r="W155" s="49">
        <f t="shared" si="16"/>
        <v>29.09</v>
      </c>
      <c r="X155" s="28">
        <f t="shared" si="17"/>
        <v>174</v>
      </c>
    </row>
    <row r="156" spans="4:24" ht="15" x14ac:dyDescent="0.25">
      <c r="D156" s="53">
        <v>151</v>
      </c>
      <c r="E156" s="52" t="s">
        <v>185</v>
      </c>
      <c r="F156" s="54">
        <v>10</v>
      </c>
      <c r="G156" s="56">
        <v>-199</v>
      </c>
      <c r="H156" s="61">
        <v>0.28985507246376802</v>
      </c>
      <c r="I156" s="56">
        <v>198.46100000000001</v>
      </c>
      <c r="J156" s="59" t="s">
        <v>107</v>
      </c>
      <c r="K156" s="73" t="s">
        <v>301</v>
      </c>
      <c r="L156" s="79" t="e">
        <v>#VALUE!</v>
      </c>
      <c r="M156" s="69" t="e">
        <f t="shared" si="12"/>
        <v>#VALUE!</v>
      </c>
      <c r="N156" s="70" t="s">
        <v>306</v>
      </c>
      <c r="O156" s="76">
        <f t="shared" si="13"/>
        <v>1</v>
      </c>
      <c r="P156" s="76" t="e">
        <f t="shared" si="14"/>
        <v>#VALUE!</v>
      </c>
      <c r="Q156" s="77"/>
      <c r="R156" s="27">
        <v>0</v>
      </c>
      <c r="T156" s="22">
        <f t="shared" si="15"/>
        <v>0</v>
      </c>
      <c r="W156" s="49">
        <f t="shared" si="16"/>
        <v>28.99</v>
      </c>
      <c r="X156" s="28">
        <f t="shared" si="17"/>
        <v>198</v>
      </c>
    </row>
    <row r="157" spans="4:24" ht="15" x14ac:dyDescent="0.25">
      <c r="D157" s="53">
        <v>152</v>
      </c>
      <c r="E157" s="52" t="s">
        <v>155</v>
      </c>
      <c r="F157" s="54">
        <v>16</v>
      </c>
      <c r="G157" s="56">
        <v>-282.5</v>
      </c>
      <c r="H157" s="61">
        <v>0.26702214930270701</v>
      </c>
      <c r="I157" s="56">
        <v>127.441</v>
      </c>
      <c r="J157" s="59" t="s">
        <v>107</v>
      </c>
      <c r="K157" s="73" t="s">
        <v>294</v>
      </c>
      <c r="L157" s="79" t="s">
        <v>516</v>
      </c>
      <c r="M157" s="69" t="str">
        <f t="shared" si="12"/>
        <v>70314128007</v>
      </c>
      <c r="N157" s="77" t="s">
        <v>407</v>
      </c>
      <c r="O157" s="76">
        <f t="shared" si="13"/>
        <v>16</v>
      </c>
      <c r="P157" s="76">
        <f t="shared" si="14"/>
        <v>12</v>
      </c>
      <c r="Q157" s="77"/>
      <c r="R157" s="27">
        <v>0</v>
      </c>
      <c r="T157" s="22">
        <f t="shared" si="15"/>
        <v>0</v>
      </c>
      <c r="W157" s="49">
        <f t="shared" si="16"/>
        <v>26.7</v>
      </c>
      <c r="X157" s="28">
        <f t="shared" si="17"/>
        <v>127</v>
      </c>
    </row>
    <row r="158" spans="4:24" ht="15" x14ac:dyDescent="0.25">
      <c r="D158" s="53">
        <v>153</v>
      </c>
      <c r="E158" s="52" t="s">
        <v>118</v>
      </c>
      <c r="F158" s="54">
        <v>16</v>
      </c>
      <c r="G158" s="56">
        <v>-298.5</v>
      </c>
      <c r="H158" s="61">
        <v>0.26264697839759399</v>
      </c>
      <c r="I158" s="56">
        <v>204.65299999999999</v>
      </c>
      <c r="J158" s="59" t="s">
        <v>107</v>
      </c>
      <c r="K158" s="73" t="s">
        <v>276</v>
      </c>
      <c r="L158" s="79" t="s">
        <v>517</v>
      </c>
      <c r="M158" s="69" t="str">
        <f t="shared" si="12"/>
        <v>81914126268</v>
      </c>
      <c r="N158" s="77" t="s">
        <v>408</v>
      </c>
      <c r="O158" s="76">
        <f t="shared" si="13"/>
        <v>16</v>
      </c>
      <c r="P158" s="76">
        <f t="shared" si="14"/>
        <v>12</v>
      </c>
      <c r="Q158" s="77"/>
      <c r="R158" s="27">
        <v>0</v>
      </c>
      <c r="T158" s="22">
        <f t="shared" si="15"/>
        <v>0</v>
      </c>
      <c r="W158" s="49">
        <f t="shared" si="16"/>
        <v>26.26</v>
      </c>
      <c r="X158" s="28">
        <f t="shared" si="17"/>
        <v>205</v>
      </c>
    </row>
    <row r="159" spans="4:24" ht="15" x14ac:dyDescent="0.25">
      <c r="D159" s="53">
        <v>154</v>
      </c>
      <c r="E159" s="52" t="s">
        <v>58</v>
      </c>
      <c r="F159" s="54">
        <v>16</v>
      </c>
      <c r="G159" s="56">
        <v>-311</v>
      </c>
      <c r="H159" s="61">
        <v>0.25922887612797402</v>
      </c>
      <c r="I159" s="56">
        <v>130.965</v>
      </c>
      <c r="J159" s="59" t="s">
        <v>9</v>
      </c>
      <c r="K159" s="73" t="s">
        <v>295</v>
      </c>
      <c r="L159" s="79" t="s">
        <v>518</v>
      </c>
      <c r="M159" s="69" t="str">
        <f t="shared" si="12"/>
        <v>74914126218</v>
      </c>
      <c r="N159" s="77" t="s">
        <v>409</v>
      </c>
      <c r="O159" s="76">
        <f t="shared" si="13"/>
        <v>16</v>
      </c>
      <c r="P159" s="76">
        <f t="shared" si="14"/>
        <v>12</v>
      </c>
      <c r="Q159" s="77"/>
      <c r="R159" s="27">
        <v>0</v>
      </c>
      <c r="T159" s="22">
        <f t="shared" si="15"/>
        <v>0</v>
      </c>
      <c r="W159" s="49">
        <f t="shared" si="16"/>
        <v>25.92</v>
      </c>
      <c r="X159" s="28">
        <f t="shared" si="17"/>
        <v>131</v>
      </c>
    </row>
    <row r="160" spans="4:24" ht="15" x14ac:dyDescent="0.25">
      <c r="D160" s="53">
        <v>155</v>
      </c>
      <c r="E160" s="52" t="s">
        <v>70</v>
      </c>
      <c r="F160" s="54">
        <v>16</v>
      </c>
      <c r="G160" s="56">
        <v>696.25</v>
      </c>
      <c r="H160" s="61">
        <v>0.258322559793148</v>
      </c>
      <c r="I160" s="56">
        <v>186.14699999999999</v>
      </c>
      <c r="J160" s="59" t="s">
        <v>65</v>
      </c>
      <c r="K160" s="73" t="s">
        <v>296</v>
      </c>
      <c r="L160" s="79" t="s">
        <v>519</v>
      </c>
      <c r="M160" s="69" t="str">
        <f t="shared" si="12"/>
        <v>20141268636</v>
      </c>
      <c r="N160" s="77" t="s">
        <v>410</v>
      </c>
      <c r="O160" s="76">
        <f t="shared" si="13"/>
        <v>16</v>
      </c>
      <c r="P160" s="76">
        <f t="shared" si="14"/>
        <v>12</v>
      </c>
      <c r="Q160" s="77"/>
      <c r="R160" s="27">
        <v>0</v>
      </c>
      <c r="T160" s="22">
        <f t="shared" si="15"/>
        <v>0</v>
      </c>
      <c r="W160" s="49">
        <f t="shared" si="16"/>
        <v>25.83</v>
      </c>
      <c r="X160" s="28">
        <f t="shared" si="17"/>
        <v>186</v>
      </c>
    </row>
    <row r="161" spans="4:24" ht="15" x14ac:dyDescent="0.25">
      <c r="D161" s="53">
        <v>156</v>
      </c>
      <c r="E161" s="52" t="s">
        <v>181</v>
      </c>
      <c r="F161" s="54">
        <v>16</v>
      </c>
      <c r="G161" s="56">
        <v>-397</v>
      </c>
      <c r="H161" s="61">
        <v>0.23571233251298901</v>
      </c>
      <c r="I161" s="56">
        <v>67.683999999999997</v>
      </c>
      <c r="J161" s="59" t="s">
        <v>107</v>
      </c>
      <c r="K161" s="73" t="s">
        <v>293</v>
      </c>
      <c r="L161" s="79" t="s">
        <v>520</v>
      </c>
      <c r="M161" s="69" t="str">
        <f t="shared" si="12"/>
        <v>68914133114</v>
      </c>
      <c r="N161" s="77" t="s">
        <v>411</v>
      </c>
      <c r="O161" s="76">
        <f t="shared" si="13"/>
        <v>16</v>
      </c>
      <c r="P161" s="76">
        <f t="shared" si="14"/>
        <v>12</v>
      </c>
      <c r="Q161" s="77"/>
      <c r="R161" s="27">
        <v>0</v>
      </c>
      <c r="T161" s="22">
        <f t="shared" si="15"/>
        <v>0</v>
      </c>
      <c r="W161" s="49">
        <f t="shared" si="16"/>
        <v>23.57</v>
      </c>
      <c r="X161" s="28">
        <f t="shared" si="17"/>
        <v>68</v>
      </c>
    </row>
    <row r="162" spans="4:24" ht="15" x14ac:dyDescent="0.25">
      <c r="D162" s="53">
        <v>157</v>
      </c>
      <c r="E162" s="52" t="s">
        <v>23</v>
      </c>
      <c r="F162" s="54">
        <v>16</v>
      </c>
      <c r="G162" s="56">
        <v>-427</v>
      </c>
      <c r="H162" s="61">
        <v>0.227508887065901</v>
      </c>
      <c r="I162" s="56">
        <v>180.12</v>
      </c>
      <c r="J162" s="59" t="s">
        <v>9</v>
      </c>
      <c r="K162" s="73" t="s">
        <v>297</v>
      </c>
      <c r="L162" s="79" t="s">
        <v>521</v>
      </c>
      <c r="M162" s="69" t="str">
        <f t="shared" si="12"/>
        <v>82214127004</v>
      </c>
      <c r="N162" s="77" t="s">
        <v>412</v>
      </c>
      <c r="O162" s="76">
        <f t="shared" si="13"/>
        <v>16</v>
      </c>
      <c r="P162" s="76">
        <f t="shared" si="14"/>
        <v>12</v>
      </c>
      <c r="Q162" s="77"/>
      <c r="R162" s="27">
        <v>0</v>
      </c>
      <c r="T162" s="22">
        <f t="shared" si="15"/>
        <v>0</v>
      </c>
      <c r="W162" s="49">
        <f t="shared" si="16"/>
        <v>22.75</v>
      </c>
      <c r="X162" s="28">
        <f t="shared" si="17"/>
        <v>180</v>
      </c>
    </row>
    <row r="163" spans="4:24" ht="15" x14ac:dyDescent="0.25">
      <c r="D163" s="53">
        <v>158</v>
      </c>
      <c r="E163" s="52" t="s">
        <v>61</v>
      </c>
      <c r="F163" s="54">
        <v>16</v>
      </c>
      <c r="G163" s="56">
        <v>-512</v>
      </c>
      <c r="H163" s="61">
        <v>0.20426579163248601</v>
      </c>
      <c r="I163" s="56">
        <v>170.066</v>
      </c>
      <c r="J163" s="59" t="s">
        <v>9</v>
      </c>
      <c r="K163" s="73" t="s">
        <v>298</v>
      </c>
      <c r="L163" s="79" t="s">
        <v>522</v>
      </c>
      <c r="M163" s="69" t="str">
        <f t="shared" si="12"/>
        <v>8171412689</v>
      </c>
      <c r="N163" s="77" t="s">
        <v>413</v>
      </c>
      <c r="O163" s="76">
        <f t="shared" si="13"/>
        <v>15</v>
      </c>
      <c r="P163" s="76">
        <f t="shared" si="14"/>
        <v>11</v>
      </c>
      <c r="Q163" s="77"/>
      <c r="R163" s="27">
        <v>0</v>
      </c>
      <c r="T163" s="22">
        <f t="shared" si="15"/>
        <v>0</v>
      </c>
      <c r="W163" s="49">
        <f t="shared" si="16"/>
        <v>20.43</v>
      </c>
      <c r="X163" s="28">
        <f t="shared" si="17"/>
        <v>170</v>
      </c>
    </row>
    <row r="164" spans="4:24" ht="15" x14ac:dyDescent="0.25">
      <c r="D164" s="53">
        <v>159</v>
      </c>
      <c r="E164" s="52" t="s">
        <v>62</v>
      </c>
      <c r="F164" s="54">
        <v>16</v>
      </c>
      <c r="G164" s="56">
        <v>-514</v>
      </c>
      <c r="H164" s="61">
        <v>0.203718895269346</v>
      </c>
      <c r="I164" s="56">
        <v>169.958</v>
      </c>
      <c r="J164" s="59" t="s">
        <v>9</v>
      </c>
      <c r="K164" s="73" t="s">
        <v>299</v>
      </c>
      <c r="L164" s="79" t="s">
        <v>523</v>
      </c>
      <c r="M164" s="69" t="str">
        <f t="shared" si="12"/>
        <v>2421412716</v>
      </c>
      <c r="N164" s="77" t="s">
        <v>414</v>
      </c>
      <c r="O164" s="76">
        <f t="shared" si="13"/>
        <v>15</v>
      </c>
      <c r="P164" s="76">
        <f t="shared" si="14"/>
        <v>11</v>
      </c>
      <c r="Q164" s="77"/>
      <c r="R164" s="27">
        <v>0</v>
      </c>
      <c r="T164" s="22">
        <f t="shared" si="15"/>
        <v>0</v>
      </c>
      <c r="W164" s="49">
        <f t="shared" si="16"/>
        <v>20.37</v>
      </c>
      <c r="X164" s="28">
        <f t="shared" si="17"/>
        <v>170</v>
      </c>
    </row>
    <row r="165" spans="4:24" ht="15" x14ac:dyDescent="0.25">
      <c r="D165" s="53">
        <v>160</v>
      </c>
      <c r="E165" s="52" t="s">
        <v>63</v>
      </c>
      <c r="F165" s="54">
        <v>16</v>
      </c>
      <c r="G165" s="56">
        <v>-722</v>
      </c>
      <c r="H165" s="61">
        <v>0.146841673502871</v>
      </c>
      <c r="I165" s="56">
        <v>246.44300000000001</v>
      </c>
      <c r="J165" s="59" t="s">
        <v>9</v>
      </c>
      <c r="K165" s="73" t="s">
        <v>300</v>
      </c>
      <c r="L165" s="79" t="s">
        <v>524</v>
      </c>
      <c r="M165" s="69" t="str">
        <f t="shared" si="12"/>
        <v>67314126846</v>
      </c>
      <c r="N165" s="77" t="s">
        <v>415</v>
      </c>
      <c r="O165" s="76">
        <f t="shared" si="13"/>
        <v>16</v>
      </c>
      <c r="P165" s="76">
        <f t="shared" si="14"/>
        <v>12</v>
      </c>
      <c r="Q165" s="77"/>
      <c r="R165" s="27">
        <v>0</v>
      </c>
      <c r="T165" s="22">
        <f t="shared" si="15"/>
        <v>0</v>
      </c>
      <c r="W165" s="49">
        <f t="shared" si="16"/>
        <v>14.68</v>
      </c>
      <c r="X165" s="28">
        <f t="shared" si="17"/>
        <v>246</v>
      </c>
    </row>
    <row r="166" spans="4:24" ht="15" x14ac:dyDescent="0.25">
      <c r="D166" s="53">
        <v>161</v>
      </c>
      <c r="E166" s="52" t="s">
        <v>84</v>
      </c>
      <c r="F166" s="54">
        <v>5</v>
      </c>
      <c r="G166" s="56">
        <v>235</v>
      </c>
      <c r="H166" s="61">
        <v>0.109243697478992</v>
      </c>
      <c r="I166" s="56">
        <v>77.197000000000003</v>
      </c>
      <c r="J166" s="59" t="s">
        <v>65</v>
      </c>
      <c r="K166" s="73" t="s">
        <v>301</v>
      </c>
      <c r="L166" s="79" t="e">
        <v>#VALUE!</v>
      </c>
      <c r="M166" s="69" t="e">
        <f t="shared" si="12"/>
        <v>#VALUE!</v>
      </c>
      <c r="N166" s="70" t="s">
        <v>306</v>
      </c>
      <c r="O166" s="76">
        <f t="shared" si="13"/>
        <v>1</v>
      </c>
      <c r="P166" s="76" t="e">
        <f t="shared" si="14"/>
        <v>#VALUE!</v>
      </c>
      <c r="Q166" s="77"/>
      <c r="R166" s="27">
        <v>0</v>
      </c>
      <c r="T166" s="22">
        <f t="shared" si="15"/>
        <v>0</v>
      </c>
      <c r="W166" s="49">
        <f t="shared" si="16"/>
        <v>10.92</v>
      </c>
      <c r="X166" s="28">
        <f t="shared" si="17"/>
        <v>77</v>
      </c>
    </row>
    <row r="167" spans="4:24" ht="15" x14ac:dyDescent="0.25">
      <c r="D167" s="53">
        <v>162</v>
      </c>
      <c r="E167" s="52" t="s">
        <v>82</v>
      </c>
      <c r="F167" s="54">
        <v>4</v>
      </c>
      <c r="G167" s="56">
        <v>223.75</v>
      </c>
      <c r="H167" s="61">
        <v>0.105607627666451</v>
      </c>
      <c r="I167" s="56">
        <v>20.513000000000002</v>
      </c>
      <c r="J167" s="59" t="s">
        <v>65</v>
      </c>
      <c r="K167" s="73" t="s">
        <v>301</v>
      </c>
      <c r="L167" s="79" t="e">
        <v>#VALUE!</v>
      </c>
      <c r="M167" s="69" t="e">
        <f t="shared" si="12"/>
        <v>#VALUE!</v>
      </c>
      <c r="N167" s="70" t="s">
        <v>306</v>
      </c>
      <c r="O167" s="76">
        <f t="shared" si="13"/>
        <v>1</v>
      </c>
      <c r="P167" s="76" t="e">
        <f t="shared" si="14"/>
        <v>#VALUE!</v>
      </c>
      <c r="Q167" s="77"/>
      <c r="R167" s="27">
        <v>0</v>
      </c>
      <c r="T167" s="22">
        <f t="shared" si="15"/>
        <v>0</v>
      </c>
      <c r="W167" s="49">
        <f t="shared" si="16"/>
        <v>10.56</v>
      </c>
      <c r="X167" s="28">
        <f t="shared" si="17"/>
        <v>21</v>
      </c>
    </row>
    <row r="168" spans="4:24" ht="15" x14ac:dyDescent="0.25">
      <c r="D168" s="53">
        <v>163</v>
      </c>
      <c r="E168" s="52" t="s">
        <v>80</v>
      </c>
      <c r="F168" s="54">
        <v>4</v>
      </c>
      <c r="G168" s="56">
        <v>211</v>
      </c>
      <c r="H168" s="61">
        <v>0.10148674854557201</v>
      </c>
      <c r="I168" s="56">
        <v>43.813000000000002</v>
      </c>
      <c r="J168" s="59" t="s">
        <v>65</v>
      </c>
      <c r="K168" s="73" t="s">
        <v>301</v>
      </c>
      <c r="L168" s="79" t="e">
        <v>#VALUE!</v>
      </c>
      <c r="M168" s="69" t="e">
        <f t="shared" si="12"/>
        <v>#VALUE!</v>
      </c>
      <c r="N168" s="70" t="s">
        <v>306</v>
      </c>
      <c r="O168" s="76">
        <f t="shared" si="13"/>
        <v>1</v>
      </c>
      <c r="P168" s="76" t="e">
        <f t="shared" si="14"/>
        <v>#VALUE!</v>
      </c>
      <c r="Q168" s="77"/>
      <c r="R168" s="27">
        <v>0</v>
      </c>
      <c r="T168" s="22">
        <f t="shared" si="15"/>
        <v>0</v>
      </c>
      <c r="W168" s="49">
        <f t="shared" si="16"/>
        <v>10.15</v>
      </c>
      <c r="X168" s="28">
        <f t="shared" si="17"/>
        <v>44</v>
      </c>
    </row>
    <row r="169" spans="4:24" ht="15" x14ac:dyDescent="0.25">
      <c r="D169" s="53">
        <v>164</v>
      </c>
      <c r="E169" s="52" t="s">
        <v>103</v>
      </c>
      <c r="F169" s="54">
        <v>4</v>
      </c>
      <c r="G169" s="56">
        <v>185</v>
      </c>
      <c r="H169" s="61">
        <v>9.3083387201034304E-2</v>
      </c>
      <c r="I169" s="56">
        <v>35.942</v>
      </c>
      <c r="J169" s="59" t="s">
        <v>65</v>
      </c>
      <c r="K169" s="73" t="s">
        <v>301</v>
      </c>
      <c r="L169" s="79" t="e">
        <v>#VALUE!</v>
      </c>
      <c r="M169" s="69" t="e">
        <f t="shared" si="12"/>
        <v>#VALUE!</v>
      </c>
      <c r="N169" s="70" t="s">
        <v>306</v>
      </c>
      <c r="O169" s="76">
        <f t="shared" si="13"/>
        <v>1</v>
      </c>
      <c r="P169" s="76" t="e">
        <f t="shared" si="14"/>
        <v>#VALUE!</v>
      </c>
      <c r="Q169" s="77"/>
      <c r="R169" s="27">
        <v>0</v>
      </c>
      <c r="T169" s="22">
        <f t="shared" si="15"/>
        <v>0</v>
      </c>
      <c r="W169" s="49">
        <f t="shared" si="16"/>
        <v>9.31</v>
      </c>
      <c r="X169" s="28">
        <f t="shared" si="17"/>
        <v>36</v>
      </c>
    </row>
    <row r="170" spans="4:24" ht="15" x14ac:dyDescent="0.25">
      <c r="D170" s="53">
        <v>165</v>
      </c>
      <c r="E170" s="52" t="s">
        <v>69</v>
      </c>
      <c r="F170" s="54">
        <v>5</v>
      </c>
      <c r="G170" s="56">
        <v>179.416666666667</v>
      </c>
      <c r="H170" s="61">
        <v>9.1278819219995699E-2</v>
      </c>
      <c r="I170" s="56">
        <v>30.134</v>
      </c>
      <c r="J170" s="59" t="s">
        <v>65</v>
      </c>
      <c r="K170" s="73" t="s">
        <v>301</v>
      </c>
      <c r="L170" s="79" t="e">
        <v>#VALUE!</v>
      </c>
      <c r="M170" s="69" t="e">
        <f t="shared" si="12"/>
        <v>#VALUE!</v>
      </c>
      <c r="N170" s="70" t="s">
        <v>306</v>
      </c>
      <c r="O170" s="76">
        <f t="shared" si="13"/>
        <v>1</v>
      </c>
      <c r="P170" s="76" t="e">
        <f t="shared" si="14"/>
        <v>#VALUE!</v>
      </c>
      <c r="Q170" s="77"/>
      <c r="R170" s="27">
        <v>0</v>
      </c>
      <c r="T170" s="22">
        <f t="shared" si="15"/>
        <v>0</v>
      </c>
      <c r="W170" s="49">
        <f t="shared" si="16"/>
        <v>9.1300000000000008</v>
      </c>
      <c r="X170" s="28">
        <f t="shared" si="17"/>
        <v>30</v>
      </c>
    </row>
    <row r="171" spans="4:24" ht="15" x14ac:dyDescent="0.25">
      <c r="D171" s="53">
        <v>166</v>
      </c>
      <c r="E171" s="52" t="s">
        <v>64</v>
      </c>
      <c r="F171" s="54">
        <v>4</v>
      </c>
      <c r="G171" s="56">
        <v>155.5</v>
      </c>
      <c r="H171" s="61">
        <v>8.3548804137039398E-2</v>
      </c>
      <c r="I171" s="56">
        <v>13.404</v>
      </c>
      <c r="J171" s="59" t="s">
        <v>65</v>
      </c>
      <c r="K171" s="73" t="s">
        <v>301</v>
      </c>
      <c r="L171" s="79" t="e">
        <v>#VALUE!</v>
      </c>
      <c r="M171" s="69" t="e">
        <f t="shared" si="12"/>
        <v>#VALUE!</v>
      </c>
      <c r="N171" s="70" t="s">
        <v>306</v>
      </c>
      <c r="O171" s="76">
        <f t="shared" si="13"/>
        <v>1</v>
      </c>
      <c r="P171" s="76" t="e">
        <f t="shared" si="14"/>
        <v>#VALUE!</v>
      </c>
      <c r="Q171" s="77"/>
      <c r="R171" s="27">
        <v>0</v>
      </c>
      <c r="T171" s="22">
        <f t="shared" si="15"/>
        <v>0</v>
      </c>
      <c r="W171" s="49">
        <f t="shared" si="16"/>
        <v>8.35</v>
      </c>
      <c r="X171" s="28">
        <f t="shared" si="17"/>
        <v>13</v>
      </c>
    </row>
    <row r="172" spans="4:24" ht="15" x14ac:dyDescent="0.25">
      <c r="D172" s="53">
        <v>167</v>
      </c>
      <c r="E172" s="52" t="s">
        <v>102</v>
      </c>
      <c r="F172" s="54">
        <v>1</v>
      </c>
      <c r="G172" s="56">
        <v>84</v>
      </c>
      <c r="H172" s="61">
        <v>6.0439560439560398E-2</v>
      </c>
      <c r="I172" s="56">
        <v>28.669</v>
      </c>
      <c r="J172" s="59" t="s">
        <v>65</v>
      </c>
      <c r="K172" s="73" t="s">
        <v>301</v>
      </c>
      <c r="L172" s="79" t="e">
        <v>#VALUE!</v>
      </c>
      <c r="M172" s="69" t="e">
        <f t="shared" si="12"/>
        <v>#VALUE!</v>
      </c>
      <c r="N172" s="70" t="s">
        <v>306</v>
      </c>
      <c r="O172" s="76">
        <f t="shared" si="13"/>
        <v>1</v>
      </c>
      <c r="P172" s="76" t="e">
        <f t="shared" si="14"/>
        <v>#VALUE!</v>
      </c>
      <c r="Q172" s="77"/>
      <c r="R172" s="27">
        <v>0</v>
      </c>
      <c r="T172" s="22">
        <f t="shared" si="15"/>
        <v>0</v>
      </c>
      <c r="W172" s="49">
        <f t="shared" si="16"/>
        <v>6.04</v>
      </c>
      <c r="X172" s="28">
        <f t="shared" si="17"/>
        <v>29</v>
      </c>
    </row>
    <row r="173" spans="4:24" ht="15" x14ac:dyDescent="0.25">
      <c r="D173" s="53">
        <v>168</v>
      </c>
      <c r="E173" s="52" t="s">
        <v>177</v>
      </c>
      <c r="F173" s="54">
        <v>1</v>
      </c>
      <c r="G173" s="56">
        <v>69.5</v>
      </c>
      <c r="H173" s="61">
        <v>5.5753070458952801E-2</v>
      </c>
      <c r="I173" s="56">
        <v>2.2400000000000002</v>
      </c>
      <c r="J173" s="59" t="s">
        <v>65</v>
      </c>
      <c r="K173" s="73" t="s">
        <v>301</v>
      </c>
      <c r="L173" s="79" t="e">
        <v>#VALUE!</v>
      </c>
      <c r="M173" s="69" t="e">
        <f t="shared" si="12"/>
        <v>#VALUE!</v>
      </c>
      <c r="N173" s="70" t="s">
        <v>306</v>
      </c>
      <c r="O173" s="76">
        <f t="shared" si="13"/>
        <v>1</v>
      </c>
      <c r="P173" s="76" t="e">
        <f t="shared" si="14"/>
        <v>#VALUE!</v>
      </c>
      <c r="Q173" s="77"/>
      <c r="R173" s="27">
        <v>0</v>
      </c>
      <c r="T173" s="22">
        <f t="shared" si="15"/>
        <v>0</v>
      </c>
      <c r="W173" s="49">
        <f t="shared" si="16"/>
        <v>5.58</v>
      </c>
      <c r="X173" s="28">
        <f t="shared" si="17"/>
        <v>2</v>
      </c>
    </row>
    <row r="174" spans="4:24" ht="15" x14ac:dyDescent="0.25">
      <c r="D174" s="53">
        <v>169</v>
      </c>
      <c r="E174" s="52" t="s">
        <v>90</v>
      </c>
      <c r="F174" s="54">
        <v>1</v>
      </c>
      <c r="G174" s="56">
        <v>69.5</v>
      </c>
      <c r="H174" s="61">
        <v>5.5753070458952801E-2</v>
      </c>
      <c r="I174" s="56">
        <v>16.535</v>
      </c>
      <c r="J174" s="59" t="s">
        <v>65</v>
      </c>
      <c r="K174" s="73" t="s">
        <v>301</v>
      </c>
      <c r="L174" s="79" t="e">
        <v>#VALUE!</v>
      </c>
      <c r="M174" s="69" t="e">
        <f t="shared" si="12"/>
        <v>#VALUE!</v>
      </c>
      <c r="N174" s="70" t="s">
        <v>306</v>
      </c>
      <c r="O174" s="76">
        <f t="shared" si="13"/>
        <v>1</v>
      </c>
      <c r="P174" s="76" t="e">
        <f t="shared" si="14"/>
        <v>#VALUE!</v>
      </c>
      <c r="Q174" s="77"/>
      <c r="R174" s="27">
        <v>0</v>
      </c>
      <c r="T174" s="22">
        <f t="shared" si="15"/>
        <v>0</v>
      </c>
      <c r="W174" s="49">
        <f t="shared" si="16"/>
        <v>5.58</v>
      </c>
      <c r="X174" s="28">
        <f t="shared" si="17"/>
        <v>17</v>
      </c>
    </row>
    <row r="175" spans="4:24" ht="15" x14ac:dyDescent="0.25">
      <c r="D175" s="53">
        <v>170</v>
      </c>
      <c r="E175" s="52" t="s">
        <v>94</v>
      </c>
      <c r="F175" s="54">
        <v>1</v>
      </c>
      <c r="G175" s="56">
        <v>65.5</v>
      </c>
      <c r="H175" s="61">
        <v>5.4460245636716198E-2</v>
      </c>
      <c r="I175" s="56">
        <v>9.6300000000000008</v>
      </c>
      <c r="J175" s="59" t="s">
        <v>65</v>
      </c>
      <c r="K175" s="73" t="s">
        <v>301</v>
      </c>
      <c r="L175" s="79" t="e">
        <v>#VALUE!</v>
      </c>
      <c r="M175" s="69" t="e">
        <f t="shared" si="12"/>
        <v>#VALUE!</v>
      </c>
      <c r="N175" s="70" t="s">
        <v>306</v>
      </c>
      <c r="O175" s="76">
        <f t="shared" si="13"/>
        <v>1</v>
      </c>
      <c r="P175" s="76" t="e">
        <f t="shared" si="14"/>
        <v>#VALUE!</v>
      </c>
      <c r="Q175" s="77"/>
      <c r="R175" s="27">
        <v>0</v>
      </c>
      <c r="T175" s="22">
        <f t="shared" si="15"/>
        <v>0</v>
      </c>
      <c r="W175" s="49">
        <f t="shared" si="16"/>
        <v>5.45</v>
      </c>
      <c r="X175" s="28">
        <f t="shared" si="17"/>
        <v>10</v>
      </c>
    </row>
    <row r="176" spans="4:24" ht="15" x14ac:dyDescent="0.25">
      <c r="D176" s="53">
        <v>171</v>
      </c>
      <c r="E176" s="52" t="s">
        <v>77</v>
      </c>
      <c r="F176" s="54">
        <v>1</v>
      </c>
      <c r="G176" s="56">
        <v>46</v>
      </c>
      <c r="H176" s="61">
        <v>4.8157724628312901E-2</v>
      </c>
      <c r="I176" s="56">
        <v>8.2479999999999993</v>
      </c>
      <c r="J176" s="59" t="s">
        <v>65</v>
      </c>
      <c r="K176" s="73" t="s">
        <v>301</v>
      </c>
      <c r="L176" s="79" t="e">
        <v>#VALUE!</v>
      </c>
      <c r="M176" s="69" t="e">
        <f t="shared" si="12"/>
        <v>#VALUE!</v>
      </c>
      <c r="N176" s="70" t="s">
        <v>306</v>
      </c>
      <c r="O176" s="76">
        <f t="shared" si="13"/>
        <v>1</v>
      </c>
      <c r="P176" s="76" t="e">
        <f t="shared" si="14"/>
        <v>#VALUE!</v>
      </c>
      <c r="Q176" s="77"/>
      <c r="R176" s="27">
        <v>0</v>
      </c>
      <c r="T176" s="22">
        <f t="shared" si="15"/>
        <v>0</v>
      </c>
      <c r="W176" s="49">
        <f t="shared" si="16"/>
        <v>4.82</v>
      </c>
      <c r="X176" s="28">
        <f t="shared" si="17"/>
        <v>8</v>
      </c>
    </row>
    <row r="177" spans="4:24" ht="15" x14ac:dyDescent="0.25">
      <c r="D177" s="53">
        <v>172</v>
      </c>
      <c r="E177" s="52" t="s">
        <v>89</v>
      </c>
      <c r="F177" s="54">
        <v>1</v>
      </c>
      <c r="G177" s="56">
        <v>46</v>
      </c>
      <c r="H177" s="61">
        <v>4.8157724628312901E-2</v>
      </c>
      <c r="I177" s="56">
        <v>10.59</v>
      </c>
      <c r="J177" s="59" t="s">
        <v>65</v>
      </c>
      <c r="K177" s="73" t="s">
        <v>301</v>
      </c>
      <c r="L177" s="79" t="e">
        <v>#VALUE!</v>
      </c>
      <c r="M177" s="69" t="e">
        <f t="shared" si="12"/>
        <v>#VALUE!</v>
      </c>
      <c r="N177" s="70" t="s">
        <v>306</v>
      </c>
      <c r="O177" s="76">
        <f t="shared" si="13"/>
        <v>1</v>
      </c>
      <c r="P177" s="76" t="e">
        <f t="shared" si="14"/>
        <v>#VALUE!</v>
      </c>
      <c r="Q177" s="77"/>
      <c r="R177" s="27">
        <v>0</v>
      </c>
      <c r="T177" s="22">
        <f t="shared" si="15"/>
        <v>0</v>
      </c>
      <c r="W177" s="49">
        <f t="shared" si="16"/>
        <v>4.82</v>
      </c>
      <c r="X177" s="28">
        <f t="shared" si="17"/>
        <v>11</v>
      </c>
    </row>
    <row r="178" spans="4:24" ht="15" x14ac:dyDescent="0.25">
      <c r="D178" s="53"/>
      <c r="E178" s="52"/>
      <c r="F178" s="54"/>
      <c r="G178" s="56"/>
      <c r="H178" s="61"/>
      <c r="I178" s="56"/>
      <c r="J178" s="59"/>
      <c r="K178" s="74" t="s">
        <v>301</v>
      </c>
      <c r="L178" s="80" t="e">
        <v>#VALUE!</v>
      </c>
      <c r="M178" s="69" t="e">
        <f t="shared" si="12"/>
        <v>#VALUE!</v>
      </c>
      <c r="N178" s="71"/>
      <c r="O178" s="76">
        <f t="shared" si="13"/>
        <v>0</v>
      </c>
      <c r="P178" s="76" t="e">
        <f t="shared" si="14"/>
        <v>#VALUE!</v>
      </c>
      <c r="Q178" s="77"/>
      <c r="R178" s="27">
        <v>0</v>
      </c>
      <c r="W178" s="49">
        <f t="shared" si="16"/>
        <v>0</v>
      </c>
      <c r="X178" s="28">
        <f t="shared" si="17"/>
        <v>0</v>
      </c>
    </row>
    <row r="179" spans="4:24" ht="15" x14ac:dyDescent="0.25">
      <c r="D179" s="53"/>
      <c r="E179" s="52"/>
      <c r="F179" s="54"/>
      <c r="G179" s="56"/>
      <c r="H179" s="61"/>
      <c r="I179" s="56"/>
      <c r="J179" s="59"/>
      <c r="L179" s="75" t="e">
        <v>#VALUE!</v>
      </c>
      <c r="M179" s="69" t="e">
        <f t="shared" si="12"/>
        <v>#VALUE!</v>
      </c>
      <c r="O179" s="76">
        <f t="shared" si="13"/>
        <v>0</v>
      </c>
      <c r="P179" s="76" t="e">
        <f t="shared" si="14"/>
        <v>#VALUE!</v>
      </c>
      <c r="Q179" s="77"/>
      <c r="R179" s="27">
        <v>0</v>
      </c>
      <c r="W179" s="49">
        <f t="shared" si="16"/>
        <v>0</v>
      </c>
      <c r="X179" s="28">
        <f t="shared" si="17"/>
        <v>0</v>
      </c>
    </row>
    <row r="180" spans="4:24" ht="15" x14ac:dyDescent="0.25">
      <c r="D180" s="53"/>
      <c r="E180" s="52"/>
      <c r="F180" s="54"/>
      <c r="G180" s="56"/>
      <c r="H180" s="61"/>
      <c r="I180" s="56"/>
      <c r="J180" s="59"/>
      <c r="L180" s="75" t="e">
        <v>#VALUE!</v>
      </c>
      <c r="M180" s="69" t="e">
        <f t="shared" si="12"/>
        <v>#VALUE!</v>
      </c>
      <c r="O180" s="76">
        <f t="shared" si="13"/>
        <v>0</v>
      </c>
      <c r="P180" s="76" t="e">
        <f t="shared" si="14"/>
        <v>#VALUE!</v>
      </c>
      <c r="Q180" s="77"/>
      <c r="R180" s="27">
        <v>0</v>
      </c>
      <c r="W180" s="49">
        <f t="shared" si="16"/>
        <v>0</v>
      </c>
      <c r="X180" s="28">
        <f t="shared" si="17"/>
        <v>0</v>
      </c>
    </row>
    <row r="181" spans="4:24" ht="15" x14ac:dyDescent="0.25">
      <c r="D181" s="53"/>
      <c r="E181" s="52"/>
      <c r="F181" s="54"/>
      <c r="G181" s="56"/>
      <c r="H181" s="61"/>
      <c r="I181" s="56"/>
      <c r="J181" s="59"/>
      <c r="L181" s="75" t="e">
        <v>#VALUE!</v>
      </c>
      <c r="M181" s="69" t="e">
        <f t="shared" si="12"/>
        <v>#VALUE!</v>
      </c>
      <c r="O181" s="76">
        <f t="shared" si="13"/>
        <v>0</v>
      </c>
      <c r="P181" s="76" t="e">
        <f t="shared" si="14"/>
        <v>#VALUE!</v>
      </c>
      <c r="Q181" s="77"/>
      <c r="R181" s="27">
        <v>0</v>
      </c>
      <c r="W181" s="49">
        <f t="shared" si="16"/>
        <v>0</v>
      </c>
      <c r="X181" s="28">
        <f t="shared" si="17"/>
        <v>0</v>
      </c>
    </row>
    <row r="182" spans="4:24" ht="15" x14ac:dyDescent="0.25">
      <c r="D182" s="53"/>
      <c r="E182" s="52"/>
      <c r="F182" s="54"/>
      <c r="G182" s="56"/>
      <c r="H182" s="61"/>
      <c r="I182" s="56"/>
      <c r="J182" s="59"/>
      <c r="L182" s="75" t="e">
        <v>#VALUE!</v>
      </c>
      <c r="M182" s="69" t="e">
        <f t="shared" si="12"/>
        <v>#VALUE!</v>
      </c>
      <c r="O182" s="76">
        <f t="shared" si="13"/>
        <v>0</v>
      </c>
      <c r="P182" s="76" t="e">
        <f t="shared" si="14"/>
        <v>#VALUE!</v>
      </c>
      <c r="Q182" s="77"/>
      <c r="R182" s="27">
        <v>0</v>
      </c>
      <c r="W182" s="49">
        <f t="shared" si="16"/>
        <v>0</v>
      </c>
      <c r="X182" s="28">
        <f t="shared" si="17"/>
        <v>0</v>
      </c>
    </row>
    <row r="183" spans="4:24" ht="15" x14ac:dyDescent="0.25">
      <c r="D183" s="53"/>
      <c r="E183" s="52"/>
      <c r="F183" s="54"/>
      <c r="G183" s="56"/>
      <c r="H183" s="61"/>
      <c r="I183" s="56"/>
      <c r="J183" s="59"/>
      <c r="L183" s="75" t="e">
        <v>#VALUE!</v>
      </c>
      <c r="M183" s="69" t="e">
        <f t="shared" si="12"/>
        <v>#VALUE!</v>
      </c>
      <c r="O183" s="76">
        <f t="shared" si="13"/>
        <v>0</v>
      </c>
      <c r="P183" s="76" t="e">
        <f t="shared" si="14"/>
        <v>#VALUE!</v>
      </c>
      <c r="Q183" s="77"/>
      <c r="R183" s="27">
        <v>0</v>
      </c>
      <c r="W183" s="49">
        <f t="shared" si="16"/>
        <v>0</v>
      </c>
      <c r="X183" s="28">
        <f t="shared" si="17"/>
        <v>0</v>
      </c>
    </row>
    <row r="184" spans="4:24" ht="15" x14ac:dyDescent="0.25">
      <c r="D184" s="53"/>
      <c r="E184" s="52"/>
      <c r="F184" s="54"/>
      <c r="G184" s="56"/>
      <c r="H184" s="61"/>
      <c r="I184" s="56"/>
      <c r="J184" s="59"/>
      <c r="L184" s="75" t="e">
        <v>#VALUE!</v>
      </c>
      <c r="M184" s="69" t="e">
        <f t="shared" si="12"/>
        <v>#VALUE!</v>
      </c>
      <c r="O184" s="76">
        <f t="shared" si="13"/>
        <v>0</v>
      </c>
      <c r="P184" s="76" t="e">
        <f t="shared" si="14"/>
        <v>#VALUE!</v>
      </c>
      <c r="Q184" s="77"/>
      <c r="R184" s="27">
        <v>0</v>
      </c>
      <c r="W184" s="49">
        <f t="shared" si="16"/>
        <v>0</v>
      </c>
      <c r="X184" s="28">
        <f t="shared" si="17"/>
        <v>0</v>
      </c>
    </row>
    <row r="185" spans="4:24" ht="15" x14ac:dyDescent="0.25">
      <c r="D185" s="53"/>
      <c r="E185" s="52"/>
      <c r="F185" s="54"/>
      <c r="G185" s="56"/>
      <c r="H185" s="61"/>
      <c r="I185" s="56"/>
      <c r="J185" s="59"/>
      <c r="L185" s="75" t="e">
        <v>#VALUE!</v>
      </c>
      <c r="M185" s="69" t="e">
        <f t="shared" si="12"/>
        <v>#VALUE!</v>
      </c>
      <c r="O185" s="76">
        <f t="shared" si="13"/>
        <v>0</v>
      </c>
      <c r="P185" s="76" t="e">
        <f t="shared" si="14"/>
        <v>#VALUE!</v>
      </c>
      <c r="Q185" s="77"/>
      <c r="R185" s="27">
        <v>0</v>
      </c>
      <c r="W185" s="49">
        <f t="shared" si="16"/>
        <v>0</v>
      </c>
      <c r="X185" s="28">
        <f t="shared" si="17"/>
        <v>0</v>
      </c>
    </row>
    <row r="186" spans="4:24" ht="15" x14ac:dyDescent="0.25">
      <c r="D186" s="53"/>
      <c r="E186" s="52"/>
      <c r="F186" s="54"/>
      <c r="G186" s="56"/>
      <c r="H186" s="61"/>
      <c r="I186" s="56"/>
      <c r="J186" s="59"/>
      <c r="L186" s="75" t="e">
        <v>#VALUE!</v>
      </c>
      <c r="M186" s="69" t="e">
        <f t="shared" si="12"/>
        <v>#VALUE!</v>
      </c>
      <c r="O186" s="76">
        <f t="shared" si="13"/>
        <v>0</v>
      </c>
      <c r="P186" s="76" t="e">
        <f t="shared" si="14"/>
        <v>#VALUE!</v>
      </c>
      <c r="Q186" s="77"/>
      <c r="R186" s="27">
        <v>0</v>
      </c>
      <c r="W186" s="49">
        <f t="shared" si="16"/>
        <v>0</v>
      </c>
      <c r="X186" s="28">
        <f t="shared" si="17"/>
        <v>0</v>
      </c>
    </row>
    <row r="187" spans="4:24" ht="15" x14ac:dyDescent="0.25">
      <c r="D187" s="53"/>
      <c r="E187" s="52"/>
      <c r="F187" s="54"/>
      <c r="G187" s="56"/>
      <c r="H187" s="61"/>
      <c r="I187" s="56"/>
      <c r="J187" s="59"/>
      <c r="L187" s="75" t="e">
        <v>#VALUE!</v>
      </c>
      <c r="M187" s="69" t="e">
        <f t="shared" si="12"/>
        <v>#VALUE!</v>
      </c>
      <c r="O187" s="76">
        <f t="shared" si="13"/>
        <v>0</v>
      </c>
      <c r="P187" s="76" t="e">
        <f t="shared" si="14"/>
        <v>#VALUE!</v>
      </c>
      <c r="Q187" s="77"/>
      <c r="R187" s="27">
        <v>0</v>
      </c>
      <c r="W187" s="49">
        <f t="shared" si="16"/>
        <v>0</v>
      </c>
      <c r="X187" s="28">
        <f t="shared" si="17"/>
        <v>0</v>
      </c>
    </row>
    <row r="188" spans="4:24" ht="15" x14ac:dyDescent="0.25">
      <c r="D188" s="53"/>
      <c r="E188" s="52"/>
      <c r="F188" s="54"/>
      <c r="G188" s="56"/>
      <c r="H188" s="61"/>
      <c r="I188" s="56"/>
      <c r="J188" s="59"/>
      <c r="L188" s="75" t="e">
        <v>#VALUE!</v>
      </c>
      <c r="M188" s="69" t="e">
        <f t="shared" si="12"/>
        <v>#VALUE!</v>
      </c>
      <c r="O188" s="76">
        <f t="shared" si="13"/>
        <v>0</v>
      </c>
      <c r="P188" s="76" t="e">
        <f t="shared" si="14"/>
        <v>#VALUE!</v>
      </c>
      <c r="Q188" s="77"/>
      <c r="R188" s="27">
        <v>0</v>
      </c>
      <c r="W188" s="49">
        <f t="shared" si="16"/>
        <v>0</v>
      </c>
      <c r="X188" s="28">
        <f t="shared" si="17"/>
        <v>0</v>
      </c>
    </row>
    <row r="189" spans="4:24" ht="15" x14ac:dyDescent="0.25">
      <c r="D189" s="53"/>
      <c r="E189" s="52"/>
      <c r="F189" s="54"/>
      <c r="G189" s="56"/>
      <c r="H189" s="61"/>
      <c r="I189" s="56"/>
      <c r="J189" s="59"/>
      <c r="L189" s="75" t="e">
        <v>#VALUE!</v>
      </c>
      <c r="M189" s="69" t="e">
        <f t="shared" si="12"/>
        <v>#VALUE!</v>
      </c>
      <c r="O189" s="76">
        <f t="shared" si="13"/>
        <v>0</v>
      </c>
      <c r="P189" s="76" t="e">
        <f t="shared" si="14"/>
        <v>#VALUE!</v>
      </c>
      <c r="Q189" s="77"/>
      <c r="R189" s="27">
        <v>0</v>
      </c>
      <c r="W189" s="49">
        <f t="shared" si="16"/>
        <v>0</v>
      </c>
      <c r="X189" s="28">
        <f t="shared" si="17"/>
        <v>0</v>
      </c>
    </row>
    <row r="190" spans="4:24" ht="15" x14ac:dyDescent="0.25">
      <c r="D190" s="53"/>
      <c r="E190" s="52"/>
      <c r="F190" s="54"/>
      <c r="G190" s="56"/>
      <c r="H190" s="61"/>
      <c r="I190" s="56"/>
      <c r="J190" s="59"/>
      <c r="L190" s="75" t="e">
        <v>#VALUE!</v>
      </c>
      <c r="M190" s="69" t="e">
        <f t="shared" si="12"/>
        <v>#VALUE!</v>
      </c>
      <c r="O190" s="76">
        <f t="shared" si="13"/>
        <v>0</v>
      </c>
      <c r="P190" s="76" t="e">
        <f t="shared" si="14"/>
        <v>#VALUE!</v>
      </c>
      <c r="Q190" s="77"/>
      <c r="R190" s="27">
        <v>0</v>
      </c>
      <c r="W190" s="49">
        <f t="shared" si="16"/>
        <v>0</v>
      </c>
      <c r="X190" s="28">
        <f t="shared" si="17"/>
        <v>0</v>
      </c>
    </row>
    <row r="191" spans="4:24" ht="15" x14ac:dyDescent="0.25">
      <c r="D191" s="53"/>
      <c r="E191" s="52"/>
      <c r="F191" s="54"/>
      <c r="G191" s="56"/>
      <c r="H191" s="61"/>
      <c r="I191" s="56"/>
      <c r="J191" s="59"/>
      <c r="L191" s="75" t="e">
        <v>#VALUE!</v>
      </c>
      <c r="M191" s="69" t="e">
        <f t="shared" si="12"/>
        <v>#VALUE!</v>
      </c>
      <c r="O191" s="76">
        <f t="shared" si="13"/>
        <v>0</v>
      </c>
      <c r="P191" s="76" t="e">
        <f t="shared" si="14"/>
        <v>#VALUE!</v>
      </c>
      <c r="Q191" s="77"/>
      <c r="R191" s="27">
        <v>0</v>
      </c>
      <c r="W191" s="49">
        <f t="shared" si="16"/>
        <v>0</v>
      </c>
      <c r="X191" s="28">
        <f t="shared" si="17"/>
        <v>0</v>
      </c>
    </row>
    <row r="192" spans="4:24" ht="15" x14ac:dyDescent="0.25">
      <c r="D192" s="53"/>
      <c r="E192" s="52"/>
      <c r="F192" s="54"/>
      <c r="G192" s="56"/>
      <c r="H192" s="61"/>
      <c r="I192" s="56"/>
      <c r="J192" s="59"/>
      <c r="L192" s="75" t="e">
        <v>#VALUE!</v>
      </c>
      <c r="M192" s="69" t="e">
        <f t="shared" si="12"/>
        <v>#VALUE!</v>
      </c>
      <c r="O192" s="76">
        <f t="shared" si="13"/>
        <v>0</v>
      </c>
      <c r="P192" s="76" t="e">
        <f t="shared" si="14"/>
        <v>#VALUE!</v>
      </c>
      <c r="Q192" s="77"/>
      <c r="R192" s="27">
        <v>0</v>
      </c>
      <c r="W192" s="49">
        <f t="shared" si="16"/>
        <v>0</v>
      </c>
      <c r="X192" s="28">
        <f t="shared" si="17"/>
        <v>0</v>
      </c>
    </row>
    <row r="193" spans="4:24" ht="15" x14ac:dyDescent="0.25">
      <c r="D193" s="53"/>
      <c r="E193" s="52"/>
      <c r="F193" s="54"/>
      <c r="G193" s="56"/>
      <c r="H193" s="61"/>
      <c r="I193" s="56"/>
      <c r="J193" s="59"/>
      <c r="L193" s="75" t="e">
        <v>#VALUE!</v>
      </c>
      <c r="M193" s="69" t="e">
        <f t="shared" si="12"/>
        <v>#VALUE!</v>
      </c>
      <c r="O193" s="76">
        <f t="shared" si="13"/>
        <v>0</v>
      </c>
      <c r="P193" s="76" t="e">
        <f t="shared" si="14"/>
        <v>#VALUE!</v>
      </c>
      <c r="Q193" s="77"/>
      <c r="R193" s="27">
        <v>0</v>
      </c>
      <c r="W193" s="49">
        <f t="shared" si="16"/>
        <v>0</v>
      </c>
      <c r="X193" s="28">
        <f t="shared" si="17"/>
        <v>0</v>
      </c>
    </row>
    <row r="194" spans="4:24" ht="15" x14ac:dyDescent="0.25">
      <c r="D194" s="53"/>
      <c r="E194" s="52"/>
      <c r="F194" s="54"/>
      <c r="G194" s="56"/>
      <c r="H194" s="61"/>
      <c r="I194" s="56"/>
      <c r="J194" s="59"/>
      <c r="L194" s="75" t="e">
        <v>#VALUE!</v>
      </c>
      <c r="M194" s="69" t="e">
        <f t="shared" si="12"/>
        <v>#VALUE!</v>
      </c>
      <c r="O194" s="76">
        <f t="shared" si="13"/>
        <v>0</v>
      </c>
      <c r="P194" s="76" t="e">
        <f t="shared" si="14"/>
        <v>#VALUE!</v>
      </c>
      <c r="Q194" s="77"/>
      <c r="R194" s="27">
        <v>0</v>
      </c>
      <c r="W194" s="49">
        <f t="shared" si="16"/>
        <v>0</v>
      </c>
      <c r="X194" s="28">
        <f t="shared" si="17"/>
        <v>0</v>
      </c>
    </row>
    <row r="195" spans="4:24" ht="15" x14ac:dyDescent="0.25">
      <c r="D195" s="53"/>
      <c r="E195" s="52"/>
      <c r="F195" s="54"/>
      <c r="G195" s="56"/>
      <c r="H195" s="61"/>
      <c r="I195" s="56"/>
      <c r="J195" s="59"/>
      <c r="L195" s="75" t="e">
        <v>#VALUE!</v>
      </c>
      <c r="M195" s="69" t="e">
        <f t="shared" ref="L195:M258" si="18">MID(N195,1,P195-1)</f>
        <v>#VALUE!</v>
      </c>
      <c r="O195" s="76">
        <f t="shared" ref="O195:O258" si="19">LEN(N195)</f>
        <v>0</v>
      </c>
      <c r="P195" s="76" t="e">
        <f t="shared" ref="P195:P258" si="20">FIND("e",N195)</f>
        <v>#VALUE!</v>
      </c>
      <c r="Q195" s="77"/>
      <c r="R195" s="27">
        <v>0</v>
      </c>
      <c r="W195" s="49">
        <f t="shared" ref="W195:W258" si="21">ROUND(H195*100,2)</f>
        <v>0</v>
      </c>
      <c r="X195" s="28">
        <f t="shared" ref="X195:X258" si="22">ROUND(I195,0)</f>
        <v>0</v>
      </c>
    </row>
    <row r="196" spans="4:24" ht="15" x14ac:dyDescent="0.25">
      <c r="D196" s="53"/>
      <c r="E196" s="52"/>
      <c r="F196" s="54"/>
      <c r="G196" s="56"/>
      <c r="H196" s="61"/>
      <c r="I196" s="56"/>
      <c r="J196" s="59"/>
      <c r="L196" s="75" t="e">
        <v>#VALUE!</v>
      </c>
      <c r="M196" s="69" t="e">
        <f t="shared" si="18"/>
        <v>#VALUE!</v>
      </c>
      <c r="O196" s="76">
        <f t="shared" si="19"/>
        <v>0</v>
      </c>
      <c r="P196" s="76" t="e">
        <f t="shared" si="20"/>
        <v>#VALUE!</v>
      </c>
      <c r="Q196" s="77"/>
      <c r="R196" s="27">
        <v>0</v>
      </c>
      <c r="W196" s="49">
        <f t="shared" si="21"/>
        <v>0</v>
      </c>
      <c r="X196" s="28">
        <f t="shared" si="22"/>
        <v>0</v>
      </c>
    </row>
    <row r="197" spans="4:24" ht="15" x14ac:dyDescent="0.25">
      <c r="D197" s="53"/>
      <c r="E197" s="52"/>
      <c r="F197" s="54"/>
      <c r="G197" s="56"/>
      <c r="H197" s="61"/>
      <c r="I197" s="56"/>
      <c r="J197" s="59"/>
      <c r="L197" s="75" t="e">
        <v>#VALUE!</v>
      </c>
      <c r="M197" s="69" t="e">
        <f t="shared" si="18"/>
        <v>#VALUE!</v>
      </c>
      <c r="O197" s="76">
        <f t="shared" si="19"/>
        <v>0</v>
      </c>
      <c r="P197" s="76" t="e">
        <f t="shared" si="20"/>
        <v>#VALUE!</v>
      </c>
      <c r="Q197" s="77"/>
      <c r="R197" s="27">
        <v>0</v>
      </c>
      <c r="W197" s="49">
        <f t="shared" si="21"/>
        <v>0</v>
      </c>
      <c r="X197" s="28">
        <f t="shared" si="22"/>
        <v>0</v>
      </c>
    </row>
    <row r="198" spans="4:24" ht="15" x14ac:dyDescent="0.25">
      <c r="D198" s="53"/>
      <c r="E198" s="52"/>
      <c r="F198" s="54"/>
      <c r="G198" s="56"/>
      <c r="H198" s="61"/>
      <c r="I198" s="56"/>
      <c r="J198" s="59"/>
      <c r="L198" s="75" t="e">
        <v>#VALUE!</v>
      </c>
      <c r="M198" s="69" t="e">
        <f t="shared" si="18"/>
        <v>#VALUE!</v>
      </c>
      <c r="O198" s="76">
        <f t="shared" si="19"/>
        <v>0</v>
      </c>
      <c r="P198" s="76" t="e">
        <f t="shared" si="20"/>
        <v>#VALUE!</v>
      </c>
      <c r="Q198" s="77"/>
      <c r="R198" s="27">
        <v>0</v>
      </c>
      <c r="W198" s="49">
        <f t="shared" si="21"/>
        <v>0</v>
      </c>
      <c r="X198" s="28">
        <f t="shared" si="22"/>
        <v>0</v>
      </c>
    </row>
    <row r="199" spans="4:24" ht="15" x14ac:dyDescent="0.25">
      <c r="D199" s="53"/>
      <c r="E199" s="52"/>
      <c r="F199" s="54"/>
      <c r="G199" s="56"/>
      <c r="H199" s="61"/>
      <c r="I199" s="56"/>
      <c r="J199" s="59"/>
      <c r="L199" s="75" t="e">
        <v>#VALUE!</v>
      </c>
      <c r="M199" s="69" t="e">
        <f t="shared" si="18"/>
        <v>#VALUE!</v>
      </c>
      <c r="O199" s="76">
        <f t="shared" si="19"/>
        <v>0</v>
      </c>
      <c r="P199" s="76" t="e">
        <f t="shared" si="20"/>
        <v>#VALUE!</v>
      </c>
      <c r="Q199" s="77"/>
      <c r="R199" s="27">
        <v>0</v>
      </c>
      <c r="W199" s="49">
        <f t="shared" si="21"/>
        <v>0</v>
      </c>
      <c r="X199" s="28">
        <f t="shared" si="22"/>
        <v>0</v>
      </c>
    </row>
    <row r="200" spans="4:24" ht="15" x14ac:dyDescent="0.25">
      <c r="D200" s="53"/>
      <c r="E200" s="52"/>
      <c r="F200" s="54"/>
      <c r="G200" s="56"/>
      <c r="H200" s="61"/>
      <c r="I200" s="56"/>
      <c r="J200" s="59"/>
      <c r="L200" s="75" t="e">
        <v>#VALUE!</v>
      </c>
      <c r="M200" s="69" t="e">
        <f t="shared" si="18"/>
        <v>#VALUE!</v>
      </c>
      <c r="O200" s="76">
        <f t="shared" si="19"/>
        <v>0</v>
      </c>
      <c r="P200" s="76" t="e">
        <f t="shared" si="20"/>
        <v>#VALUE!</v>
      </c>
      <c r="Q200" s="77"/>
      <c r="R200" s="27">
        <v>0</v>
      </c>
      <c r="W200" s="49">
        <f t="shared" si="21"/>
        <v>0</v>
      </c>
      <c r="X200" s="28">
        <f t="shared" si="22"/>
        <v>0</v>
      </c>
    </row>
    <row r="201" spans="4:24" ht="15" x14ac:dyDescent="0.25">
      <c r="D201" s="53"/>
      <c r="E201" s="52"/>
      <c r="F201" s="54"/>
      <c r="G201" s="56"/>
      <c r="H201" s="61"/>
      <c r="I201" s="56"/>
      <c r="J201" s="59"/>
      <c r="L201" s="75" t="e">
        <v>#VALUE!</v>
      </c>
      <c r="M201" s="69" t="e">
        <f t="shared" si="18"/>
        <v>#VALUE!</v>
      </c>
      <c r="O201" s="76">
        <f t="shared" si="19"/>
        <v>0</v>
      </c>
      <c r="P201" s="76" t="e">
        <f t="shared" si="20"/>
        <v>#VALUE!</v>
      </c>
      <c r="Q201" s="77"/>
      <c r="R201" s="27">
        <v>0</v>
      </c>
      <c r="W201" s="49">
        <f t="shared" si="21"/>
        <v>0</v>
      </c>
      <c r="X201" s="28">
        <f t="shared" si="22"/>
        <v>0</v>
      </c>
    </row>
    <row r="202" spans="4:24" ht="15" x14ac:dyDescent="0.25">
      <c r="D202" s="53"/>
      <c r="E202" s="52"/>
      <c r="F202" s="54"/>
      <c r="G202" s="56"/>
      <c r="H202" s="61"/>
      <c r="I202" s="56"/>
      <c r="J202" s="59"/>
      <c r="L202" s="75" t="e">
        <v>#VALUE!</v>
      </c>
      <c r="M202" s="69" t="e">
        <f t="shared" si="18"/>
        <v>#VALUE!</v>
      </c>
      <c r="O202" s="76">
        <f t="shared" si="19"/>
        <v>0</v>
      </c>
      <c r="P202" s="76" t="e">
        <f t="shared" si="20"/>
        <v>#VALUE!</v>
      </c>
      <c r="Q202" s="77"/>
      <c r="R202" s="27">
        <v>0</v>
      </c>
      <c r="W202" s="49">
        <f t="shared" si="21"/>
        <v>0</v>
      </c>
      <c r="X202" s="28">
        <f t="shared" si="22"/>
        <v>0</v>
      </c>
    </row>
    <row r="203" spans="4:24" ht="15" x14ac:dyDescent="0.25">
      <c r="D203" s="53"/>
      <c r="E203" s="52"/>
      <c r="F203" s="54"/>
      <c r="G203" s="56"/>
      <c r="H203" s="61"/>
      <c r="I203" s="56"/>
      <c r="J203" s="59"/>
      <c r="L203" s="75" t="e">
        <v>#VALUE!</v>
      </c>
      <c r="M203" s="69" t="e">
        <f t="shared" si="18"/>
        <v>#VALUE!</v>
      </c>
      <c r="O203" s="76">
        <f t="shared" si="19"/>
        <v>0</v>
      </c>
      <c r="P203" s="76" t="e">
        <f t="shared" si="20"/>
        <v>#VALUE!</v>
      </c>
      <c r="Q203" s="77"/>
      <c r="R203" s="27">
        <v>0</v>
      </c>
      <c r="W203" s="49">
        <f t="shared" si="21"/>
        <v>0</v>
      </c>
      <c r="X203" s="28">
        <f t="shared" si="22"/>
        <v>0</v>
      </c>
    </row>
    <row r="204" spans="4:24" ht="15" x14ac:dyDescent="0.25">
      <c r="D204" s="53"/>
      <c r="E204" s="52"/>
      <c r="F204" s="54"/>
      <c r="G204" s="56"/>
      <c r="H204" s="61"/>
      <c r="I204" s="56"/>
      <c r="J204" s="59"/>
      <c r="L204" s="75" t="e">
        <v>#VALUE!</v>
      </c>
      <c r="M204" s="69" t="e">
        <f t="shared" si="18"/>
        <v>#VALUE!</v>
      </c>
      <c r="O204" s="76">
        <f t="shared" si="19"/>
        <v>0</v>
      </c>
      <c r="P204" s="76" t="e">
        <f t="shared" si="20"/>
        <v>#VALUE!</v>
      </c>
      <c r="Q204" s="77"/>
      <c r="R204" s="27">
        <v>0</v>
      </c>
      <c r="W204" s="49">
        <f t="shared" si="21"/>
        <v>0</v>
      </c>
      <c r="X204" s="28">
        <f t="shared" si="22"/>
        <v>0</v>
      </c>
    </row>
    <row r="205" spans="4:24" ht="15" x14ac:dyDescent="0.25">
      <c r="D205" s="53"/>
      <c r="E205" s="52"/>
      <c r="F205" s="54"/>
      <c r="G205" s="56"/>
      <c r="H205" s="61"/>
      <c r="I205" s="56"/>
      <c r="J205" s="59"/>
      <c r="L205" s="75" t="e">
        <v>#VALUE!</v>
      </c>
      <c r="M205" s="69" t="e">
        <f t="shared" si="18"/>
        <v>#VALUE!</v>
      </c>
      <c r="O205" s="76">
        <f t="shared" si="19"/>
        <v>0</v>
      </c>
      <c r="P205" s="76" t="e">
        <f t="shared" si="20"/>
        <v>#VALUE!</v>
      </c>
      <c r="Q205" s="77"/>
      <c r="R205" s="27">
        <v>0</v>
      </c>
      <c r="W205" s="49">
        <f t="shared" si="21"/>
        <v>0</v>
      </c>
      <c r="X205" s="28">
        <f t="shared" si="22"/>
        <v>0</v>
      </c>
    </row>
    <row r="206" spans="4:24" ht="15" x14ac:dyDescent="0.25">
      <c r="D206" s="53"/>
      <c r="E206" s="52"/>
      <c r="F206" s="54"/>
      <c r="G206" s="56"/>
      <c r="H206" s="61"/>
      <c r="I206" s="56"/>
      <c r="J206" s="59"/>
      <c r="L206" s="75" t="e">
        <v>#VALUE!</v>
      </c>
      <c r="M206" s="69" t="e">
        <f t="shared" si="18"/>
        <v>#VALUE!</v>
      </c>
      <c r="O206" s="76">
        <f t="shared" si="19"/>
        <v>0</v>
      </c>
      <c r="P206" s="76" t="e">
        <f t="shared" si="20"/>
        <v>#VALUE!</v>
      </c>
      <c r="Q206" s="77"/>
      <c r="R206" s="27">
        <v>0</v>
      </c>
      <c r="W206" s="49">
        <f t="shared" si="21"/>
        <v>0</v>
      </c>
      <c r="X206" s="28">
        <f t="shared" si="22"/>
        <v>0</v>
      </c>
    </row>
    <row r="207" spans="4:24" ht="15" x14ac:dyDescent="0.25">
      <c r="D207" s="53"/>
      <c r="E207" s="52"/>
      <c r="F207" s="54"/>
      <c r="G207" s="56"/>
      <c r="H207" s="61"/>
      <c r="I207" s="56"/>
      <c r="J207" s="59"/>
      <c r="L207" s="75" t="e">
        <v>#VALUE!</v>
      </c>
      <c r="M207" s="69" t="e">
        <f t="shared" si="18"/>
        <v>#VALUE!</v>
      </c>
      <c r="O207" s="76">
        <f t="shared" si="19"/>
        <v>0</v>
      </c>
      <c r="P207" s="76" t="e">
        <f t="shared" si="20"/>
        <v>#VALUE!</v>
      </c>
      <c r="Q207" s="77"/>
      <c r="R207" s="27">
        <v>0</v>
      </c>
      <c r="W207" s="49">
        <f t="shared" si="21"/>
        <v>0</v>
      </c>
      <c r="X207" s="28">
        <f t="shared" si="22"/>
        <v>0</v>
      </c>
    </row>
    <row r="208" spans="4:24" ht="15" x14ac:dyDescent="0.25">
      <c r="D208" s="53"/>
      <c r="E208" s="52"/>
      <c r="F208" s="54"/>
      <c r="G208" s="56"/>
      <c r="H208" s="61"/>
      <c r="I208" s="56"/>
      <c r="J208" s="59"/>
      <c r="L208" s="75" t="e">
        <v>#VALUE!</v>
      </c>
      <c r="M208" s="69" t="e">
        <f t="shared" si="18"/>
        <v>#VALUE!</v>
      </c>
      <c r="O208" s="76">
        <f t="shared" si="19"/>
        <v>0</v>
      </c>
      <c r="P208" s="76" t="e">
        <f t="shared" si="20"/>
        <v>#VALUE!</v>
      </c>
      <c r="Q208" s="77"/>
      <c r="R208" s="27">
        <v>0</v>
      </c>
      <c r="W208" s="49">
        <f t="shared" si="21"/>
        <v>0</v>
      </c>
      <c r="X208" s="28">
        <f t="shared" si="22"/>
        <v>0</v>
      </c>
    </row>
    <row r="209" spans="4:24" ht="15" x14ac:dyDescent="0.25">
      <c r="D209" s="53"/>
      <c r="E209" s="52"/>
      <c r="F209" s="54"/>
      <c r="G209" s="56"/>
      <c r="H209" s="61"/>
      <c r="I209" s="56"/>
      <c r="J209" s="59"/>
      <c r="L209" s="75" t="e">
        <v>#VALUE!</v>
      </c>
      <c r="M209" s="69" t="e">
        <f t="shared" si="18"/>
        <v>#VALUE!</v>
      </c>
      <c r="O209" s="76">
        <f t="shared" si="19"/>
        <v>0</v>
      </c>
      <c r="P209" s="76" t="e">
        <f t="shared" si="20"/>
        <v>#VALUE!</v>
      </c>
      <c r="Q209" s="77"/>
      <c r="R209" s="27">
        <v>0</v>
      </c>
      <c r="W209" s="49">
        <f t="shared" si="21"/>
        <v>0</v>
      </c>
      <c r="X209" s="28">
        <f t="shared" si="22"/>
        <v>0</v>
      </c>
    </row>
    <row r="210" spans="4:24" ht="15" x14ac:dyDescent="0.25">
      <c r="D210" s="53"/>
      <c r="E210" s="52"/>
      <c r="F210" s="54"/>
      <c r="G210" s="56"/>
      <c r="H210" s="61"/>
      <c r="I210" s="56"/>
      <c r="J210" s="59"/>
      <c r="L210" s="75" t="e">
        <v>#VALUE!</v>
      </c>
      <c r="M210" s="69" t="e">
        <f t="shared" si="18"/>
        <v>#VALUE!</v>
      </c>
      <c r="O210" s="76">
        <f t="shared" si="19"/>
        <v>0</v>
      </c>
      <c r="P210" s="76" t="e">
        <f t="shared" si="20"/>
        <v>#VALUE!</v>
      </c>
      <c r="Q210" s="77"/>
      <c r="R210" s="27">
        <v>0</v>
      </c>
      <c r="W210" s="49">
        <f t="shared" si="21"/>
        <v>0</v>
      </c>
      <c r="X210" s="28">
        <f t="shared" si="22"/>
        <v>0</v>
      </c>
    </row>
    <row r="211" spans="4:24" ht="15" x14ac:dyDescent="0.25">
      <c r="D211" s="53"/>
      <c r="E211" s="52"/>
      <c r="F211" s="54"/>
      <c r="G211" s="56"/>
      <c r="H211" s="61"/>
      <c r="I211" s="56"/>
      <c r="J211" s="59"/>
      <c r="L211" s="75" t="e">
        <v>#VALUE!</v>
      </c>
      <c r="M211" s="69" t="e">
        <f t="shared" si="18"/>
        <v>#VALUE!</v>
      </c>
      <c r="O211" s="76">
        <f t="shared" si="19"/>
        <v>0</v>
      </c>
      <c r="P211" s="76" t="e">
        <f t="shared" si="20"/>
        <v>#VALUE!</v>
      </c>
      <c r="Q211" s="77"/>
      <c r="R211" s="27">
        <v>0</v>
      </c>
      <c r="W211" s="49">
        <f t="shared" si="21"/>
        <v>0</v>
      </c>
      <c r="X211" s="28">
        <f t="shared" si="22"/>
        <v>0</v>
      </c>
    </row>
    <row r="212" spans="4:24" ht="15" x14ac:dyDescent="0.25">
      <c r="D212" s="53"/>
      <c r="E212" s="52"/>
      <c r="F212" s="54"/>
      <c r="G212" s="56"/>
      <c r="H212" s="61"/>
      <c r="I212" s="56"/>
      <c r="J212" s="59"/>
      <c r="L212" s="75" t="e">
        <v>#VALUE!</v>
      </c>
      <c r="M212" s="69" t="e">
        <f t="shared" si="18"/>
        <v>#VALUE!</v>
      </c>
      <c r="O212" s="76">
        <f t="shared" si="19"/>
        <v>0</v>
      </c>
      <c r="P212" s="76" t="e">
        <f t="shared" si="20"/>
        <v>#VALUE!</v>
      </c>
      <c r="Q212" s="77"/>
      <c r="R212" s="27">
        <v>0</v>
      </c>
      <c r="W212" s="49">
        <f t="shared" si="21"/>
        <v>0</v>
      </c>
      <c r="X212" s="28">
        <f t="shared" si="22"/>
        <v>0</v>
      </c>
    </row>
    <row r="213" spans="4:24" ht="15" x14ac:dyDescent="0.25">
      <c r="D213" s="53"/>
      <c r="E213" s="52"/>
      <c r="F213" s="54"/>
      <c r="G213" s="56"/>
      <c r="H213" s="61"/>
      <c r="I213" s="56"/>
      <c r="J213" s="59"/>
      <c r="L213" s="75" t="e">
        <v>#VALUE!</v>
      </c>
      <c r="M213" s="69" t="e">
        <f t="shared" si="18"/>
        <v>#VALUE!</v>
      </c>
      <c r="O213" s="76">
        <f t="shared" si="19"/>
        <v>0</v>
      </c>
      <c r="P213" s="76" t="e">
        <f t="shared" si="20"/>
        <v>#VALUE!</v>
      </c>
      <c r="Q213" s="77"/>
      <c r="R213" s="27">
        <v>0</v>
      </c>
      <c r="W213" s="49">
        <f t="shared" si="21"/>
        <v>0</v>
      </c>
      <c r="X213" s="28">
        <f t="shared" si="22"/>
        <v>0</v>
      </c>
    </row>
    <row r="214" spans="4:24" ht="15" x14ac:dyDescent="0.25">
      <c r="D214" s="53"/>
      <c r="E214" s="52"/>
      <c r="F214" s="54"/>
      <c r="G214" s="56"/>
      <c r="H214" s="61"/>
      <c r="I214" s="56"/>
      <c r="J214" s="59"/>
      <c r="L214" s="75" t="e">
        <v>#VALUE!</v>
      </c>
      <c r="M214" s="69" t="e">
        <f t="shared" si="18"/>
        <v>#VALUE!</v>
      </c>
      <c r="O214" s="76">
        <f t="shared" si="19"/>
        <v>0</v>
      </c>
      <c r="P214" s="76" t="e">
        <f t="shared" si="20"/>
        <v>#VALUE!</v>
      </c>
      <c r="Q214" s="77"/>
      <c r="R214" s="27">
        <v>0</v>
      </c>
      <c r="W214" s="49">
        <f t="shared" si="21"/>
        <v>0</v>
      </c>
      <c r="X214" s="28">
        <f t="shared" si="22"/>
        <v>0</v>
      </c>
    </row>
    <row r="215" spans="4:24" ht="15" x14ac:dyDescent="0.25">
      <c r="D215" s="53"/>
      <c r="E215" s="52"/>
      <c r="F215" s="54"/>
      <c r="G215" s="56"/>
      <c r="H215" s="61"/>
      <c r="I215" s="56"/>
      <c r="J215" s="59"/>
      <c r="L215" s="75" t="e">
        <v>#VALUE!</v>
      </c>
      <c r="M215" s="69" t="e">
        <f t="shared" si="18"/>
        <v>#VALUE!</v>
      </c>
      <c r="O215" s="76">
        <f t="shared" si="19"/>
        <v>0</v>
      </c>
      <c r="P215" s="76" t="e">
        <f t="shared" si="20"/>
        <v>#VALUE!</v>
      </c>
      <c r="Q215" s="77"/>
      <c r="R215" s="27">
        <v>0</v>
      </c>
      <c r="W215" s="49">
        <f t="shared" si="21"/>
        <v>0</v>
      </c>
      <c r="X215" s="28">
        <f t="shared" si="22"/>
        <v>0</v>
      </c>
    </row>
    <row r="216" spans="4:24" ht="15" x14ac:dyDescent="0.25">
      <c r="D216" s="53"/>
      <c r="E216" s="52"/>
      <c r="F216" s="54"/>
      <c r="G216" s="56"/>
      <c r="H216" s="61"/>
      <c r="I216" s="56"/>
      <c r="J216" s="59"/>
      <c r="L216" s="75" t="e">
        <v>#VALUE!</v>
      </c>
      <c r="M216" s="69" t="e">
        <f t="shared" si="18"/>
        <v>#VALUE!</v>
      </c>
      <c r="O216" s="76">
        <f t="shared" si="19"/>
        <v>0</v>
      </c>
      <c r="P216" s="76" t="e">
        <f t="shared" si="20"/>
        <v>#VALUE!</v>
      </c>
      <c r="Q216" s="77"/>
      <c r="R216" s="27">
        <v>0</v>
      </c>
      <c r="W216" s="49">
        <f t="shared" si="21"/>
        <v>0</v>
      </c>
      <c r="X216" s="28">
        <f t="shared" si="22"/>
        <v>0</v>
      </c>
    </row>
    <row r="217" spans="4:24" ht="15" x14ac:dyDescent="0.25">
      <c r="D217" s="53"/>
      <c r="E217" s="52"/>
      <c r="F217" s="54"/>
      <c r="G217" s="56"/>
      <c r="H217" s="61"/>
      <c r="I217" s="56"/>
      <c r="J217" s="59"/>
      <c r="L217" s="75" t="e">
        <v>#VALUE!</v>
      </c>
      <c r="M217" s="69" t="e">
        <f t="shared" si="18"/>
        <v>#VALUE!</v>
      </c>
      <c r="O217" s="76">
        <f t="shared" si="19"/>
        <v>0</v>
      </c>
      <c r="P217" s="76" t="e">
        <f t="shared" si="20"/>
        <v>#VALUE!</v>
      </c>
      <c r="Q217" s="77"/>
      <c r="R217" s="27">
        <v>0</v>
      </c>
      <c r="W217" s="49">
        <f t="shared" si="21"/>
        <v>0</v>
      </c>
      <c r="X217" s="28">
        <f t="shared" si="22"/>
        <v>0</v>
      </c>
    </row>
    <row r="218" spans="4:24" ht="15" x14ac:dyDescent="0.25">
      <c r="D218" s="53"/>
      <c r="E218" s="52"/>
      <c r="F218" s="54"/>
      <c r="G218" s="56"/>
      <c r="H218" s="61"/>
      <c r="I218" s="56"/>
      <c r="J218" s="59"/>
      <c r="L218" s="75" t="e">
        <v>#VALUE!</v>
      </c>
      <c r="M218" s="69" t="e">
        <f t="shared" si="18"/>
        <v>#VALUE!</v>
      </c>
      <c r="O218" s="76">
        <f t="shared" si="19"/>
        <v>0</v>
      </c>
      <c r="P218" s="76" t="e">
        <f t="shared" si="20"/>
        <v>#VALUE!</v>
      </c>
      <c r="Q218" s="77"/>
      <c r="R218" s="27">
        <v>0</v>
      </c>
      <c r="W218" s="49">
        <f t="shared" si="21"/>
        <v>0</v>
      </c>
      <c r="X218" s="28">
        <f t="shared" si="22"/>
        <v>0</v>
      </c>
    </row>
    <row r="219" spans="4:24" ht="15" x14ac:dyDescent="0.25">
      <c r="D219" s="53"/>
      <c r="E219" s="52"/>
      <c r="F219" s="54"/>
      <c r="G219" s="56"/>
      <c r="H219" s="61"/>
      <c r="I219" s="56"/>
      <c r="J219" s="59"/>
      <c r="L219" s="75" t="e">
        <v>#VALUE!</v>
      </c>
      <c r="M219" s="69" t="e">
        <f t="shared" si="18"/>
        <v>#VALUE!</v>
      </c>
      <c r="O219" s="76">
        <f t="shared" si="19"/>
        <v>0</v>
      </c>
      <c r="P219" s="76" t="e">
        <f t="shared" si="20"/>
        <v>#VALUE!</v>
      </c>
      <c r="Q219" s="77"/>
      <c r="R219" s="27">
        <v>0</v>
      </c>
      <c r="W219" s="49">
        <f t="shared" si="21"/>
        <v>0</v>
      </c>
      <c r="X219" s="28">
        <f t="shared" si="22"/>
        <v>0</v>
      </c>
    </row>
    <row r="220" spans="4:24" ht="15" x14ac:dyDescent="0.25">
      <c r="D220" s="53"/>
      <c r="E220" s="52"/>
      <c r="F220" s="54"/>
      <c r="G220" s="56"/>
      <c r="H220" s="61"/>
      <c r="I220" s="56"/>
      <c r="J220" s="59"/>
      <c r="L220" s="75" t="e">
        <v>#VALUE!</v>
      </c>
      <c r="M220" s="69" t="e">
        <f t="shared" si="18"/>
        <v>#VALUE!</v>
      </c>
      <c r="O220" s="76">
        <f t="shared" si="19"/>
        <v>0</v>
      </c>
      <c r="P220" s="76" t="e">
        <f t="shared" si="20"/>
        <v>#VALUE!</v>
      </c>
      <c r="Q220" s="77"/>
      <c r="R220" s="27">
        <v>0</v>
      </c>
      <c r="W220" s="49">
        <f t="shared" si="21"/>
        <v>0</v>
      </c>
      <c r="X220" s="28">
        <f t="shared" si="22"/>
        <v>0</v>
      </c>
    </row>
    <row r="221" spans="4:24" ht="15" x14ac:dyDescent="0.25">
      <c r="D221" s="53"/>
      <c r="E221" s="52"/>
      <c r="F221" s="54"/>
      <c r="G221" s="56"/>
      <c r="H221" s="61"/>
      <c r="I221" s="56"/>
      <c r="J221" s="59"/>
      <c r="L221" s="75" t="e">
        <v>#VALUE!</v>
      </c>
      <c r="M221" s="69" t="e">
        <f t="shared" si="18"/>
        <v>#VALUE!</v>
      </c>
      <c r="O221" s="76">
        <f t="shared" si="19"/>
        <v>0</v>
      </c>
      <c r="P221" s="76" t="e">
        <f t="shared" si="20"/>
        <v>#VALUE!</v>
      </c>
      <c r="Q221" s="77"/>
      <c r="R221" s="27">
        <v>0</v>
      </c>
      <c r="W221" s="49">
        <f t="shared" si="21"/>
        <v>0</v>
      </c>
      <c r="X221" s="28">
        <f t="shared" si="22"/>
        <v>0</v>
      </c>
    </row>
    <row r="222" spans="4:24" ht="15" x14ac:dyDescent="0.25">
      <c r="D222" s="53"/>
      <c r="E222" s="52"/>
      <c r="F222" s="54"/>
      <c r="G222" s="56"/>
      <c r="H222" s="61"/>
      <c r="I222" s="56"/>
      <c r="J222" s="59"/>
      <c r="L222" s="75" t="e">
        <v>#VALUE!</v>
      </c>
      <c r="M222" s="69" t="e">
        <f t="shared" si="18"/>
        <v>#VALUE!</v>
      </c>
      <c r="O222" s="76">
        <f t="shared" si="19"/>
        <v>0</v>
      </c>
      <c r="P222" s="76" t="e">
        <f t="shared" si="20"/>
        <v>#VALUE!</v>
      </c>
      <c r="Q222" s="77"/>
      <c r="R222" s="27">
        <v>0</v>
      </c>
      <c r="W222" s="49">
        <f t="shared" si="21"/>
        <v>0</v>
      </c>
      <c r="X222" s="28">
        <f t="shared" si="22"/>
        <v>0</v>
      </c>
    </row>
    <row r="223" spans="4:24" ht="15" x14ac:dyDescent="0.25">
      <c r="D223" s="53"/>
      <c r="E223" s="52"/>
      <c r="F223" s="54"/>
      <c r="G223" s="56"/>
      <c r="H223" s="61"/>
      <c r="I223" s="56"/>
      <c r="J223" s="59"/>
      <c r="L223" s="75" t="e">
        <v>#VALUE!</v>
      </c>
      <c r="M223" s="69" t="e">
        <f t="shared" si="18"/>
        <v>#VALUE!</v>
      </c>
      <c r="O223" s="76">
        <f t="shared" si="19"/>
        <v>0</v>
      </c>
      <c r="P223" s="76" t="e">
        <f t="shared" si="20"/>
        <v>#VALUE!</v>
      </c>
      <c r="Q223" s="77"/>
      <c r="R223" s="27">
        <v>0</v>
      </c>
      <c r="W223" s="49">
        <f t="shared" si="21"/>
        <v>0</v>
      </c>
      <c r="X223" s="28">
        <f t="shared" si="22"/>
        <v>0</v>
      </c>
    </row>
    <row r="224" spans="4:24" ht="15" x14ac:dyDescent="0.25">
      <c r="D224" s="53"/>
      <c r="E224" s="52"/>
      <c r="F224" s="54"/>
      <c r="G224" s="56"/>
      <c r="H224" s="61"/>
      <c r="I224" s="56"/>
      <c r="J224" s="59"/>
      <c r="L224" s="75" t="e">
        <v>#VALUE!</v>
      </c>
      <c r="M224" s="69" t="e">
        <f t="shared" si="18"/>
        <v>#VALUE!</v>
      </c>
      <c r="O224" s="76">
        <f t="shared" si="19"/>
        <v>0</v>
      </c>
      <c r="P224" s="76" t="e">
        <f t="shared" si="20"/>
        <v>#VALUE!</v>
      </c>
      <c r="Q224" s="77"/>
      <c r="R224" s="27">
        <v>0</v>
      </c>
      <c r="W224" s="49">
        <f t="shared" si="21"/>
        <v>0</v>
      </c>
      <c r="X224" s="28">
        <f t="shared" si="22"/>
        <v>0</v>
      </c>
    </row>
    <row r="225" spans="4:24" ht="15" x14ac:dyDescent="0.25">
      <c r="D225" s="53"/>
      <c r="E225" s="52"/>
      <c r="F225" s="54"/>
      <c r="G225" s="56"/>
      <c r="H225" s="61"/>
      <c r="I225" s="56"/>
      <c r="J225" s="59"/>
      <c r="L225" s="75" t="e">
        <v>#VALUE!</v>
      </c>
      <c r="M225" s="69" t="e">
        <f t="shared" si="18"/>
        <v>#VALUE!</v>
      </c>
      <c r="O225" s="76">
        <f t="shared" si="19"/>
        <v>0</v>
      </c>
      <c r="P225" s="76" t="e">
        <f t="shared" si="20"/>
        <v>#VALUE!</v>
      </c>
      <c r="Q225" s="77"/>
      <c r="R225" s="27">
        <v>0</v>
      </c>
      <c r="W225" s="49">
        <f t="shared" si="21"/>
        <v>0</v>
      </c>
      <c r="X225" s="28">
        <f t="shared" si="22"/>
        <v>0</v>
      </c>
    </row>
    <row r="226" spans="4:24" ht="15" x14ac:dyDescent="0.25">
      <c r="D226" s="53"/>
      <c r="E226" s="52"/>
      <c r="F226" s="54"/>
      <c r="G226" s="56"/>
      <c r="H226" s="61"/>
      <c r="I226" s="56"/>
      <c r="J226" s="59"/>
      <c r="L226" s="75" t="e">
        <v>#VALUE!</v>
      </c>
      <c r="M226" s="69" t="e">
        <f t="shared" si="18"/>
        <v>#VALUE!</v>
      </c>
      <c r="O226" s="76">
        <f t="shared" si="19"/>
        <v>0</v>
      </c>
      <c r="P226" s="76" t="e">
        <f t="shared" si="20"/>
        <v>#VALUE!</v>
      </c>
      <c r="Q226" s="77"/>
      <c r="R226" s="27">
        <v>0</v>
      </c>
      <c r="W226" s="49">
        <f t="shared" si="21"/>
        <v>0</v>
      </c>
      <c r="X226" s="28">
        <f t="shared" si="22"/>
        <v>0</v>
      </c>
    </row>
    <row r="227" spans="4:24" ht="15" x14ac:dyDescent="0.25">
      <c r="D227" s="53"/>
      <c r="E227" s="52"/>
      <c r="F227" s="54"/>
      <c r="G227" s="56"/>
      <c r="H227" s="61"/>
      <c r="I227" s="56"/>
      <c r="J227" s="59"/>
      <c r="L227" s="75" t="e">
        <v>#VALUE!</v>
      </c>
      <c r="M227" s="69" t="e">
        <f t="shared" si="18"/>
        <v>#VALUE!</v>
      </c>
      <c r="O227" s="76">
        <f t="shared" si="19"/>
        <v>0</v>
      </c>
      <c r="P227" s="76" t="e">
        <f t="shared" si="20"/>
        <v>#VALUE!</v>
      </c>
      <c r="Q227" s="77"/>
      <c r="R227" s="27">
        <v>0</v>
      </c>
      <c r="W227" s="49">
        <f t="shared" si="21"/>
        <v>0</v>
      </c>
      <c r="X227" s="28">
        <f t="shared" si="22"/>
        <v>0</v>
      </c>
    </row>
    <row r="228" spans="4:24" ht="15" x14ac:dyDescent="0.25">
      <c r="D228" s="53"/>
      <c r="E228" s="52"/>
      <c r="F228" s="54"/>
      <c r="G228" s="56"/>
      <c r="H228" s="61"/>
      <c r="I228" s="56"/>
      <c r="J228" s="59"/>
      <c r="L228" s="75" t="e">
        <v>#VALUE!</v>
      </c>
      <c r="M228" s="69" t="e">
        <f t="shared" si="18"/>
        <v>#VALUE!</v>
      </c>
      <c r="O228" s="76">
        <f t="shared" si="19"/>
        <v>0</v>
      </c>
      <c r="P228" s="76" t="e">
        <f t="shared" si="20"/>
        <v>#VALUE!</v>
      </c>
      <c r="Q228" s="77"/>
      <c r="R228" s="27">
        <v>0</v>
      </c>
      <c r="W228" s="49">
        <f t="shared" si="21"/>
        <v>0</v>
      </c>
      <c r="X228" s="28">
        <f t="shared" si="22"/>
        <v>0</v>
      </c>
    </row>
    <row r="229" spans="4:24" ht="15" x14ac:dyDescent="0.25">
      <c r="D229" s="53"/>
      <c r="E229" s="52"/>
      <c r="F229" s="54"/>
      <c r="G229" s="56"/>
      <c r="H229" s="61"/>
      <c r="I229" s="56"/>
      <c r="J229" s="59"/>
      <c r="L229" s="75" t="e">
        <v>#VALUE!</v>
      </c>
      <c r="M229" s="69" t="e">
        <f t="shared" si="18"/>
        <v>#VALUE!</v>
      </c>
      <c r="O229" s="76">
        <f t="shared" si="19"/>
        <v>0</v>
      </c>
      <c r="P229" s="76" t="e">
        <f t="shared" si="20"/>
        <v>#VALUE!</v>
      </c>
      <c r="Q229" s="77"/>
      <c r="R229" s="27">
        <v>0</v>
      </c>
      <c r="W229" s="49">
        <f t="shared" si="21"/>
        <v>0</v>
      </c>
      <c r="X229" s="28">
        <f t="shared" si="22"/>
        <v>0</v>
      </c>
    </row>
    <row r="230" spans="4:24" ht="15" x14ac:dyDescent="0.25">
      <c r="D230" s="53"/>
      <c r="E230" s="52"/>
      <c r="F230" s="54"/>
      <c r="G230" s="56"/>
      <c r="H230" s="61"/>
      <c r="I230" s="56"/>
      <c r="J230" s="59"/>
      <c r="L230" s="75" t="e">
        <v>#VALUE!</v>
      </c>
      <c r="M230" s="69" t="e">
        <f t="shared" si="18"/>
        <v>#VALUE!</v>
      </c>
      <c r="O230" s="76">
        <f t="shared" si="19"/>
        <v>0</v>
      </c>
      <c r="P230" s="76" t="e">
        <f t="shared" si="20"/>
        <v>#VALUE!</v>
      </c>
      <c r="Q230" s="77"/>
      <c r="R230" s="27">
        <v>0</v>
      </c>
      <c r="W230" s="49">
        <f t="shared" si="21"/>
        <v>0</v>
      </c>
      <c r="X230" s="28">
        <f t="shared" si="22"/>
        <v>0</v>
      </c>
    </row>
    <row r="231" spans="4:24" ht="15" x14ac:dyDescent="0.25">
      <c r="D231" s="53"/>
      <c r="E231" s="52"/>
      <c r="F231" s="54"/>
      <c r="G231" s="56"/>
      <c r="H231" s="61"/>
      <c r="I231" s="56"/>
      <c r="J231" s="59"/>
      <c r="L231" s="75" t="e">
        <v>#VALUE!</v>
      </c>
      <c r="M231" s="69" t="e">
        <f t="shared" si="18"/>
        <v>#VALUE!</v>
      </c>
      <c r="O231" s="76">
        <f t="shared" si="19"/>
        <v>0</v>
      </c>
      <c r="P231" s="76" t="e">
        <f t="shared" si="20"/>
        <v>#VALUE!</v>
      </c>
      <c r="Q231" s="77"/>
      <c r="R231" s="27">
        <v>0</v>
      </c>
      <c r="W231" s="49">
        <f t="shared" si="21"/>
        <v>0</v>
      </c>
      <c r="X231" s="28">
        <f t="shared" si="22"/>
        <v>0</v>
      </c>
    </row>
    <row r="232" spans="4:24" ht="15" x14ac:dyDescent="0.25">
      <c r="D232" s="53"/>
      <c r="E232" s="52"/>
      <c r="F232" s="54"/>
      <c r="G232" s="56"/>
      <c r="H232" s="61"/>
      <c r="I232" s="56"/>
      <c r="J232" s="59"/>
      <c r="L232" s="75" t="e">
        <v>#VALUE!</v>
      </c>
      <c r="M232" s="69" t="e">
        <f t="shared" si="18"/>
        <v>#VALUE!</v>
      </c>
      <c r="O232" s="76">
        <f t="shared" si="19"/>
        <v>0</v>
      </c>
      <c r="P232" s="76" t="e">
        <f t="shared" si="20"/>
        <v>#VALUE!</v>
      </c>
      <c r="Q232" s="77"/>
      <c r="R232" s="27">
        <v>0</v>
      </c>
      <c r="W232" s="49">
        <f t="shared" si="21"/>
        <v>0</v>
      </c>
      <c r="X232" s="28">
        <f t="shared" si="22"/>
        <v>0</v>
      </c>
    </row>
    <row r="233" spans="4:24" ht="15" x14ac:dyDescent="0.25">
      <c r="D233" s="53"/>
      <c r="E233" s="52"/>
      <c r="F233" s="54"/>
      <c r="G233" s="56"/>
      <c r="H233" s="61"/>
      <c r="I233" s="56"/>
      <c r="J233" s="59"/>
      <c r="L233" s="75" t="e">
        <v>#VALUE!</v>
      </c>
      <c r="M233" s="69" t="e">
        <f t="shared" si="18"/>
        <v>#VALUE!</v>
      </c>
      <c r="O233" s="76">
        <f t="shared" si="19"/>
        <v>0</v>
      </c>
      <c r="P233" s="76" t="e">
        <f t="shared" si="20"/>
        <v>#VALUE!</v>
      </c>
      <c r="Q233" s="77"/>
      <c r="R233" s="27">
        <v>0</v>
      </c>
      <c r="W233" s="49">
        <f t="shared" si="21"/>
        <v>0</v>
      </c>
      <c r="X233" s="28">
        <f t="shared" si="22"/>
        <v>0</v>
      </c>
    </row>
    <row r="234" spans="4:24" ht="15" x14ac:dyDescent="0.25">
      <c r="D234" s="53"/>
      <c r="E234" s="52"/>
      <c r="F234" s="54"/>
      <c r="G234" s="56"/>
      <c r="H234" s="61"/>
      <c r="I234" s="56"/>
      <c r="J234" s="59"/>
      <c r="L234" s="75" t="e">
        <v>#VALUE!</v>
      </c>
      <c r="M234" s="69" t="e">
        <f t="shared" si="18"/>
        <v>#VALUE!</v>
      </c>
      <c r="O234" s="76">
        <f t="shared" si="19"/>
        <v>0</v>
      </c>
      <c r="P234" s="76" t="e">
        <f t="shared" si="20"/>
        <v>#VALUE!</v>
      </c>
      <c r="Q234" s="77"/>
      <c r="R234" s="27">
        <v>0</v>
      </c>
      <c r="W234" s="49">
        <f t="shared" si="21"/>
        <v>0</v>
      </c>
      <c r="X234" s="28">
        <f t="shared" si="22"/>
        <v>0</v>
      </c>
    </row>
    <row r="235" spans="4:24" ht="15" x14ac:dyDescent="0.25">
      <c r="D235" s="53"/>
      <c r="E235" s="52"/>
      <c r="F235" s="54"/>
      <c r="G235" s="56"/>
      <c r="H235" s="61"/>
      <c r="I235" s="56"/>
      <c r="J235" s="59"/>
      <c r="L235" s="75" t="e">
        <v>#VALUE!</v>
      </c>
      <c r="M235" s="69" t="e">
        <f t="shared" si="18"/>
        <v>#VALUE!</v>
      </c>
      <c r="O235" s="76">
        <f t="shared" si="19"/>
        <v>0</v>
      </c>
      <c r="P235" s="76" t="e">
        <f t="shared" si="20"/>
        <v>#VALUE!</v>
      </c>
      <c r="Q235" s="77"/>
      <c r="R235" s="27">
        <v>0</v>
      </c>
      <c r="W235" s="49">
        <f t="shared" si="21"/>
        <v>0</v>
      </c>
      <c r="X235" s="28">
        <f t="shared" si="22"/>
        <v>0</v>
      </c>
    </row>
    <row r="236" spans="4:24" ht="15" x14ac:dyDescent="0.25">
      <c r="D236" s="53"/>
      <c r="E236" s="52"/>
      <c r="F236" s="54"/>
      <c r="G236" s="56"/>
      <c r="H236" s="61"/>
      <c r="I236" s="56"/>
      <c r="J236" s="59"/>
      <c r="L236" s="75" t="e">
        <v>#VALUE!</v>
      </c>
      <c r="M236" s="69" t="e">
        <f t="shared" si="18"/>
        <v>#VALUE!</v>
      </c>
      <c r="O236" s="76">
        <f t="shared" si="19"/>
        <v>0</v>
      </c>
      <c r="P236" s="76" t="e">
        <f t="shared" si="20"/>
        <v>#VALUE!</v>
      </c>
      <c r="Q236" s="77"/>
      <c r="R236" s="27">
        <v>0</v>
      </c>
      <c r="W236" s="49">
        <f t="shared" si="21"/>
        <v>0</v>
      </c>
      <c r="X236" s="28">
        <f t="shared" si="22"/>
        <v>0</v>
      </c>
    </row>
    <row r="237" spans="4:24" ht="15" x14ac:dyDescent="0.25">
      <c r="D237" s="53"/>
      <c r="E237" s="52"/>
      <c r="F237" s="54"/>
      <c r="G237" s="56"/>
      <c r="H237" s="61"/>
      <c r="I237" s="56"/>
      <c r="J237" s="59"/>
      <c r="L237" s="75" t="e">
        <v>#VALUE!</v>
      </c>
      <c r="M237" s="69" t="e">
        <f t="shared" si="18"/>
        <v>#VALUE!</v>
      </c>
      <c r="O237" s="76">
        <f t="shared" si="19"/>
        <v>0</v>
      </c>
      <c r="P237" s="76" t="e">
        <f t="shared" si="20"/>
        <v>#VALUE!</v>
      </c>
      <c r="Q237" s="77"/>
      <c r="R237" s="27">
        <v>0</v>
      </c>
      <c r="W237" s="49">
        <f t="shared" si="21"/>
        <v>0</v>
      </c>
      <c r="X237" s="28">
        <f t="shared" si="22"/>
        <v>0</v>
      </c>
    </row>
    <row r="238" spans="4:24" ht="15" x14ac:dyDescent="0.25">
      <c r="D238" s="53"/>
      <c r="E238" s="52"/>
      <c r="F238" s="54"/>
      <c r="G238" s="56"/>
      <c r="H238" s="61"/>
      <c r="I238" s="56"/>
      <c r="J238" s="59"/>
      <c r="L238" s="75" t="e">
        <v>#VALUE!</v>
      </c>
      <c r="M238" s="69" t="e">
        <f t="shared" si="18"/>
        <v>#VALUE!</v>
      </c>
      <c r="O238" s="76">
        <f t="shared" si="19"/>
        <v>0</v>
      </c>
      <c r="P238" s="76" t="e">
        <f t="shared" si="20"/>
        <v>#VALUE!</v>
      </c>
      <c r="Q238" s="77"/>
      <c r="R238" s="27">
        <v>0</v>
      </c>
      <c r="W238" s="49">
        <f t="shared" si="21"/>
        <v>0</v>
      </c>
      <c r="X238" s="28">
        <f t="shared" si="22"/>
        <v>0</v>
      </c>
    </row>
    <row r="239" spans="4:24" ht="15" x14ac:dyDescent="0.25">
      <c r="D239" s="53"/>
      <c r="E239" s="52"/>
      <c r="F239" s="54"/>
      <c r="G239" s="56"/>
      <c r="H239" s="61"/>
      <c r="I239" s="56"/>
      <c r="J239" s="59"/>
      <c r="L239" s="75" t="e">
        <v>#VALUE!</v>
      </c>
      <c r="M239" s="69" t="e">
        <f t="shared" si="18"/>
        <v>#VALUE!</v>
      </c>
      <c r="O239" s="76">
        <f t="shared" si="19"/>
        <v>0</v>
      </c>
      <c r="P239" s="76" t="e">
        <f t="shared" si="20"/>
        <v>#VALUE!</v>
      </c>
      <c r="Q239" s="77"/>
      <c r="R239" s="27">
        <v>0</v>
      </c>
      <c r="W239" s="49">
        <f t="shared" si="21"/>
        <v>0</v>
      </c>
      <c r="X239" s="28">
        <f t="shared" si="22"/>
        <v>0</v>
      </c>
    </row>
    <row r="240" spans="4:24" ht="15" x14ac:dyDescent="0.25">
      <c r="D240" s="53"/>
      <c r="E240" s="52"/>
      <c r="F240" s="54"/>
      <c r="G240" s="56"/>
      <c r="H240" s="61"/>
      <c r="I240" s="56"/>
      <c r="J240" s="59"/>
      <c r="L240" s="75" t="e">
        <v>#VALUE!</v>
      </c>
      <c r="M240" s="69" t="e">
        <f t="shared" si="18"/>
        <v>#VALUE!</v>
      </c>
      <c r="O240" s="76">
        <f t="shared" si="19"/>
        <v>0</v>
      </c>
      <c r="P240" s="76" t="e">
        <f t="shared" si="20"/>
        <v>#VALUE!</v>
      </c>
      <c r="Q240" s="77"/>
      <c r="R240" s="27">
        <v>0</v>
      </c>
      <c r="W240" s="49">
        <f t="shared" si="21"/>
        <v>0</v>
      </c>
      <c r="X240" s="28">
        <f t="shared" si="22"/>
        <v>0</v>
      </c>
    </row>
    <row r="241" spans="4:24" ht="15" x14ac:dyDescent="0.25">
      <c r="D241" s="53"/>
      <c r="E241" s="52"/>
      <c r="F241" s="54"/>
      <c r="G241" s="56"/>
      <c r="H241" s="61"/>
      <c r="I241" s="56"/>
      <c r="J241" s="59"/>
      <c r="L241" s="75" t="e">
        <v>#VALUE!</v>
      </c>
      <c r="M241" s="69" t="e">
        <f t="shared" si="18"/>
        <v>#VALUE!</v>
      </c>
      <c r="O241" s="76">
        <f t="shared" si="19"/>
        <v>0</v>
      </c>
      <c r="P241" s="76" t="e">
        <f t="shared" si="20"/>
        <v>#VALUE!</v>
      </c>
      <c r="Q241" s="77"/>
      <c r="R241" s="27">
        <v>0</v>
      </c>
      <c r="W241" s="49">
        <f t="shared" si="21"/>
        <v>0</v>
      </c>
      <c r="X241" s="28">
        <f t="shared" si="22"/>
        <v>0</v>
      </c>
    </row>
    <row r="242" spans="4:24" ht="15" x14ac:dyDescent="0.25">
      <c r="D242" s="53"/>
      <c r="E242" s="52"/>
      <c r="F242" s="54"/>
      <c r="G242" s="56"/>
      <c r="H242" s="61"/>
      <c r="I242" s="56"/>
      <c r="J242" s="59"/>
      <c r="L242" s="75" t="e">
        <v>#VALUE!</v>
      </c>
      <c r="M242" s="69" t="e">
        <f t="shared" si="18"/>
        <v>#VALUE!</v>
      </c>
      <c r="O242" s="76">
        <f t="shared" si="19"/>
        <v>0</v>
      </c>
      <c r="P242" s="76" t="e">
        <f t="shared" si="20"/>
        <v>#VALUE!</v>
      </c>
      <c r="Q242" s="77"/>
      <c r="R242" s="27">
        <v>0</v>
      </c>
      <c r="W242" s="49">
        <f t="shared" si="21"/>
        <v>0</v>
      </c>
      <c r="X242" s="28">
        <f t="shared" si="22"/>
        <v>0</v>
      </c>
    </row>
    <row r="243" spans="4:24" ht="15" x14ac:dyDescent="0.25">
      <c r="D243" s="53"/>
      <c r="E243" s="52"/>
      <c r="F243" s="54"/>
      <c r="G243" s="56"/>
      <c r="H243" s="61"/>
      <c r="I243" s="56"/>
      <c r="J243" s="59"/>
      <c r="L243" s="75" t="e">
        <v>#VALUE!</v>
      </c>
      <c r="M243" s="69" t="e">
        <f t="shared" si="18"/>
        <v>#VALUE!</v>
      </c>
      <c r="O243" s="76">
        <f t="shared" si="19"/>
        <v>0</v>
      </c>
      <c r="P243" s="76" t="e">
        <f t="shared" si="20"/>
        <v>#VALUE!</v>
      </c>
      <c r="Q243" s="77"/>
      <c r="R243" s="27">
        <v>0</v>
      </c>
      <c r="W243" s="49">
        <f t="shared" si="21"/>
        <v>0</v>
      </c>
      <c r="X243" s="28">
        <f t="shared" si="22"/>
        <v>0</v>
      </c>
    </row>
    <row r="244" spans="4:24" ht="15" x14ac:dyDescent="0.25">
      <c r="D244" s="53"/>
      <c r="E244" s="52"/>
      <c r="F244" s="54"/>
      <c r="G244" s="56"/>
      <c r="H244" s="61"/>
      <c r="I244" s="56"/>
      <c r="J244" s="59"/>
      <c r="L244" s="75" t="e">
        <v>#VALUE!</v>
      </c>
      <c r="M244" s="69" t="e">
        <f t="shared" si="18"/>
        <v>#VALUE!</v>
      </c>
      <c r="O244" s="76">
        <f t="shared" si="19"/>
        <v>0</v>
      </c>
      <c r="P244" s="76" t="e">
        <f t="shared" si="20"/>
        <v>#VALUE!</v>
      </c>
      <c r="Q244" s="77"/>
      <c r="R244" s="27">
        <v>0</v>
      </c>
      <c r="W244" s="49">
        <f t="shared" si="21"/>
        <v>0</v>
      </c>
      <c r="X244" s="28">
        <f t="shared" si="22"/>
        <v>0</v>
      </c>
    </row>
    <row r="245" spans="4:24" ht="15" x14ac:dyDescent="0.25">
      <c r="D245" s="53"/>
      <c r="E245" s="52"/>
      <c r="F245" s="54"/>
      <c r="G245" s="56"/>
      <c r="H245" s="61"/>
      <c r="I245" s="56"/>
      <c r="J245" s="59"/>
      <c r="L245" s="75" t="e">
        <v>#VALUE!</v>
      </c>
      <c r="M245" s="69" t="e">
        <f t="shared" si="18"/>
        <v>#VALUE!</v>
      </c>
      <c r="O245" s="76">
        <f t="shared" si="19"/>
        <v>0</v>
      </c>
      <c r="P245" s="76" t="e">
        <f t="shared" si="20"/>
        <v>#VALUE!</v>
      </c>
      <c r="Q245" s="77"/>
      <c r="R245" s="27">
        <v>0</v>
      </c>
      <c r="W245" s="49">
        <f t="shared" si="21"/>
        <v>0</v>
      </c>
      <c r="X245" s="28">
        <f t="shared" si="22"/>
        <v>0</v>
      </c>
    </row>
    <row r="246" spans="4:24" ht="15" x14ac:dyDescent="0.25">
      <c r="D246" s="53"/>
      <c r="E246" s="52"/>
      <c r="F246" s="54"/>
      <c r="G246" s="56"/>
      <c r="H246" s="61"/>
      <c r="I246" s="56"/>
      <c r="J246" s="59"/>
      <c r="L246" s="75" t="e">
        <v>#VALUE!</v>
      </c>
      <c r="M246" s="69" t="e">
        <f t="shared" si="18"/>
        <v>#VALUE!</v>
      </c>
      <c r="O246" s="76">
        <f t="shared" si="19"/>
        <v>0</v>
      </c>
      <c r="P246" s="76" t="e">
        <f t="shared" si="20"/>
        <v>#VALUE!</v>
      </c>
      <c r="Q246" s="77"/>
      <c r="R246" s="27">
        <v>0</v>
      </c>
      <c r="W246" s="49">
        <f t="shared" si="21"/>
        <v>0</v>
      </c>
      <c r="X246" s="28">
        <f t="shared" si="22"/>
        <v>0</v>
      </c>
    </row>
    <row r="247" spans="4:24" ht="15" x14ac:dyDescent="0.25">
      <c r="D247" s="53"/>
      <c r="E247" s="52"/>
      <c r="F247" s="54"/>
      <c r="G247" s="56"/>
      <c r="H247" s="61"/>
      <c r="I247" s="56"/>
      <c r="J247" s="59"/>
      <c r="L247" s="75" t="e">
        <v>#VALUE!</v>
      </c>
      <c r="M247" s="69" t="e">
        <f t="shared" si="18"/>
        <v>#VALUE!</v>
      </c>
      <c r="O247" s="76">
        <f t="shared" si="19"/>
        <v>0</v>
      </c>
      <c r="P247" s="76" t="e">
        <f t="shared" si="20"/>
        <v>#VALUE!</v>
      </c>
      <c r="Q247" s="77"/>
      <c r="R247" s="27">
        <v>0</v>
      </c>
      <c r="W247" s="49">
        <f t="shared" si="21"/>
        <v>0</v>
      </c>
      <c r="X247" s="28">
        <f t="shared" si="22"/>
        <v>0</v>
      </c>
    </row>
    <row r="248" spans="4:24" ht="15" x14ac:dyDescent="0.25">
      <c r="D248" s="53"/>
      <c r="E248" s="52"/>
      <c r="F248" s="54"/>
      <c r="G248" s="56"/>
      <c r="H248" s="61"/>
      <c r="I248" s="56"/>
      <c r="J248" s="59"/>
      <c r="L248" s="75" t="e">
        <v>#VALUE!</v>
      </c>
      <c r="M248" s="69" t="e">
        <f t="shared" si="18"/>
        <v>#VALUE!</v>
      </c>
      <c r="O248" s="76">
        <f t="shared" si="19"/>
        <v>0</v>
      </c>
      <c r="P248" s="76" t="e">
        <f t="shared" si="20"/>
        <v>#VALUE!</v>
      </c>
      <c r="Q248" s="77"/>
      <c r="R248" s="27">
        <v>0</v>
      </c>
      <c r="W248" s="49">
        <f t="shared" si="21"/>
        <v>0</v>
      </c>
      <c r="X248" s="28">
        <f t="shared" si="22"/>
        <v>0</v>
      </c>
    </row>
    <row r="249" spans="4:24" ht="15" x14ac:dyDescent="0.25">
      <c r="D249" s="53"/>
      <c r="E249" s="52"/>
      <c r="F249" s="54"/>
      <c r="G249" s="56"/>
      <c r="H249" s="61"/>
      <c r="I249" s="56"/>
      <c r="J249" s="59"/>
      <c r="L249" s="75" t="e">
        <v>#VALUE!</v>
      </c>
      <c r="M249" s="69" t="e">
        <f t="shared" si="18"/>
        <v>#VALUE!</v>
      </c>
      <c r="O249" s="76">
        <f t="shared" si="19"/>
        <v>0</v>
      </c>
      <c r="P249" s="76" t="e">
        <f t="shared" si="20"/>
        <v>#VALUE!</v>
      </c>
      <c r="Q249" s="77"/>
      <c r="R249" s="27">
        <v>0</v>
      </c>
      <c r="W249" s="49">
        <f t="shared" si="21"/>
        <v>0</v>
      </c>
      <c r="X249" s="28">
        <f t="shared" si="22"/>
        <v>0</v>
      </c>
    </row>
    <row r="250" spans="4:24" ht="15" x14ac:dyDescent="0.25">
      <c r="D250" s="53"/>
      <c r="E250" s="52"/>
      <c r="F250" s="54"/>
      <c r="G250" s="56"/>
      <c r="H250" s="61"/>
      <c r="I250" s="56"/>
      <c r="J250" s="59"/>
      <c r="L250" s="75" t="e">
        <v>#VALUE!</v>
      </c>
      <c r="M250" s="69" t="e">
        <f t="shared" si="18"/>
        <v>#VALUE!</v>
      </c>
      <c r="O250" s="76">
        <f t="shared" si="19"/>
        <v>0</v>
      </c>
      <c r="P250" s="76" t="e">
        <f t="shared" si="20"/>
        <v>#VALUE!</v>
      </c>
      <c r="Q250" s="77"/>
      <c r="R250" s="27">
        <v>0</v>
      </c>
      <c r="W250" s="49">
        <f t="shared" si="21"/>
        <v>0</v>
      </c>
      <c r="X250" s="28">
        <f t="shared" si="22"/>
        <v>0</v>
      </c>
    </row>
    <row r="251" spans="4:24" ht="15" x14ac:dyDescent="0.25">
      <c r="D251" s="53"/>
      <c r="E251" s="52"/>
      <c r="F251" s="54"/>
      <c r="G251" s="56"/>
      <c r="H251" s="61"/>
      <c r="I251" s="56"/>
      <c r="J251" s="59"/>
      <c r="L251" s="75" t="e">
        <v>#VALUE!</v>
      </c>
      <c r="M251" s="69" t="e">
        <f t="shared" si="18"/>
        <v>#VALUE!</v>
      </c>
      <c r="O251" s="76">
        <f t="shared" si="19"/>
        <v>0</v>
      </c>
      <c r="P251" s="76" t="e">
        <f t="shared" si="20"/>
        <v>#VALUE!</v>
      </c>
      <c r="Q251" s="77"/>
      <c r="R251" s="27">
        <v>0</v>
      </c>
      <c r="W251" s="49">
        <f t="shared" si="21"/>
        <v>0</v>
      </c>
      <c r="X251" s="28">
        <f t="shared" si="22"/>
        <v>0</v>
      </c>
    </row>
    <row r="252" spans="4:24" ht="15" x14ac:dyDescent="0.25">
      <c r="D252" s="53"/>
      <c r="E252" s="52"/>
      <c r="F252" s="54"/>
      <c r="G252" s="56"/>
      <c r="H252" s="61"/>
      <c r="I252" s="56"/>
      <c r="J252" s="59"/>
      <c r="L252" s="75" t="e">
        <v>#VALUE!</v>
      </c>
      <c r="M252" s="69" t="e">
        <f t="shared" si="18"/>
        <v>#VALUE!</v>
      </c>
      <c r="O252" s="76">
        <f t="shared" si="19"/>
        <v>0</v>
      </c>
      <c r="P252" s="76" t="e">
        <f t="shared" si="20"/>
        <v>#VALUE!</v>
      </c>
      <c r="Q252" s="77"/>
      <c r="R252" s="27">
        <v>0</v>
      </c>
      <c r="W252" s="49">
        <f t="shared" si="21"/>
        <v>0</v>
      </c>
      <c r="X252" s="28">
        <f t="shared" si="22"/>
        <v>0</v>
      </c>
    </row>
    <row r="253" spans="4:24" ht="15" x14ac:dyDescent="0.25">
      <c r="D253" s="53"/>
      <c r="E253" s="52"/>
      <c r="F253" s="54"/>
      <c r="G253" s="56"/>
      <c r="H253" s="61"/>
      <c r="I253" s="56"/>
      <c r="J253" s="59"/>
      <c r="L253" s="75" t="e">
        <v>#VALUE!</v>
      </c>
      <c r="M253" s="69" t="e">
        <f t="shared" si="18"/>
        <v>#VALUE!</v>
      </c>
      <c r="O253" s="76">
        <f t="shared" si="19"/>
        <v>0</v>
      </c>
      <c r="P253" s="76" t="e">
        <f t="shared" si="20"/>
        <v>#VALUE!</v>
      </c>
      <c r="Q253" s="77"/>
      <c r="R253" s="27">
        <v>0</v>
      </c>
      <c r="W253" s="49">
        <f t="shared" si="21"/>
        <v>0</v>
      </c>
      <c r="X253" s="28">
        <f t="shared" si="22"/>
        <v>0</v>
      </c>
    </row>
    <row r="254" spans="4:24" ht="15" x14ac:dyDescent="0.25">
      <c r="D254" s="53"/>
      <c r="E254" s="52"/>
      <c r="F254" s="54"/>
      <c r="G254" s="56"/>
      <c r="H254" s="61"/>
      <c r="I254" s="56"/>
      <c r="J254" s="59"/>
      <c r="L254" s="75" t="e">
        <v>#VALUE!</v>
      </c>
      <c r="M254" s="69" t="e">
        <f t="shared" si="18"/>
        <v>#VALUE!</v>
      </c>
      <c r="O254" s="76">
        <f t="shared" si="19"/>
        <v>0</v>
      </c>
      <c r="P254" s="76" t="e">
        <f t="shared" si="20"/>
        <v>#VALUE!</v>
      </c>
      <c r="Q254" s="77"/>
      <c r="R254" s="27">
        <v>0</v>
      </c>
      <c r="W254" s="49">
        <f t="shared" si="21"/>
        <v>0</v>
      </c>
      <c r="X254" s="28">
        <f t="shared" si="22"/>
        <v>0</v>
      </c>
    </row>
    <row r="255" spans="4:24" ht="15" x14ac:dyDescent="0.25">
      <c r="D255" s="53"/>
      <c r="E255" s="52"/>
      <c r="F255" s="54"/>
      <c r="G255" s="56"/>
      <c r="H255" s="61"/>
      <c r="I255" s="56"/>
      <c r="J255" s="59"/>
      <c r="L255" s="75" t="e">
        <v>#VALUE!</v>
      </c>
      <c r="M255" s="69" t="e">
        <f t="shared" si="18"/>
        <v>#VALUE!</v>
      </c>
      <c r="O255" s="76">
        <f t="shared" si="19"/>
        <v>0</v>
      </c>
      <c r="P255" s="76" t="e">
        <f t="shared" si="20"/>
        <v>#VALUE!</v>
      </c>
      <c r="Q255" s="77"/>
      <c r="R255" s="27">
        <v>0</v>
      </c>
      <c r="W255" s="49">
        <f t="shared" si="21"/>
        <v>0</v>
      </c>
      <c r="X255" s="28">
        <f t="shared" si="22"/>
        <v>0</v>
      </c>
    </row>
    <row r="256" spans="4:24" ht="15" x14ac:dyDescent="0.25">
      <c r="D256" s="53"/>
      <c r="E256" s="52"/>
      <c r="F256" s="54"/>
      <c r="G256" s="56"/>
      <c r="H256" s="61"/>
      <c r="I256" s="56"/>
      <c r="J256" s="59"/>
      <c r="L256" s="75" t="e">
        <v>#VALUE!</v>
      </c>
      <c r="M256" s="69" t="e">
        <f t="shared" si="18"/>
        <v>#VALUE!</v>
      </c>
      <c r="O256" s="76">
        <f t="shared" si="19"/>
        <v>0</v>
      </c>
      <c r="P256" s="76" t="e">
        <f t="shared" si="20"/>
        <v>#VALUE!</v>
      </c>
      <c r="Q256" s="77"/>
      <c r="R256" s="27">
        <v>0</v>
      </c>
      <c r="W256" s="49">
        <f t="shared" si="21"/>
        <v>0</v>
      </c>
      <c r="X256" s="28">
        <f t="shared" si="22"/>
        <v>0</v>
      </c>
    </row>
    <row r="257" spans="4:24" ht="15" x14ac:dyDescent="0.25">
      <c r="D257" s="53"/>
      <c r="E257" s="52"/>
      <c r="F257" s="54"/>
      <c r="G257" s="56"/>
      <c r="H257" s="61"/>
      <c r="I257" s="56"/>
      <c r="J257" s="59"/>
      <c r="L257" s="75" t="e">
        <v>#VALUE!</v>
      </c>
      <c r="M257" s="69" t="e">
        <f t="shared" si="18"/>
        <v>#VALUE!</v>
      </c>
      <c r="O257" s="76">
        <f t="shared" si="19"/>
        <v>0</v>
      </c>
      <c r="P257" s="76" t="e">
        <f t="shared" si="20"/>
        <v>#VALUE!</v>
      </c>
      <c r="Q257" s="77"/>
      <c r="R257" s="27">
        <v>0</v>
      </c>
      <c r="W257" s="49">
        <f t="shared" si="21"/>
        <v>0</v>
      </c>
      <c r="X257" s="28">
        <f t="shared" si="22"/>
        <v>0</v>
      </c>
    </row>
    <row r="258" spans="4:24" ht="15" x14ac:dyDescent="0.25">
      <c r="D258" s="53"/>
      <c r="E258" s="52"/>
      <c r="F258" s="54"/>
      <c r="G258" s="56"/>
      <c r="H258" s="61"/>
      <c r="I258" s="56"/>
      <c r="J258" s="59"/>
      <c r="L258" s="75" t="e">
        <v>#VALUE!</v>
      </c>
      <c r="M258" s="69" t="e">
        <f t="shared" si="18"/>
        <v>#VALUE!</v>
      </c>
      <c r="O258" s="76">
        <f t="shared" si="19"/>
        <v>0</v>
      </c>
      <c r="P258" s="76" t="e">
        <f t="shared" si="20"/>
        <v>#VALUE!</v>
      </c>
      <c r="Q258" s="77"/>
      <c r="R258" s="27">
        <v>0</v>
      </c>
      <c r="W258" s="49">
        <f t="shared" si="21"/>
        <v>0</v>
      </c>
      <c r="X258" s="28">
        <f t="shared" si="22"/>
        <v>0</v>
      </c>
    </row>
    <row r="259" spans="4:24" ht="15" x14ac:dyDescent="0.25">
      <c r="D259" s="53"/>
      <c r="E259" s="52"/>
      <c r="F259" s="54"/>
      <c r="G259" s="56"/>
      <c r="H259" s="61"/>
      <c r="I259" s="56"/>
      <c r="J259" s="59"/>
      <c r="L259" s="75" t="e">
        <v>#VALUE!</v>
      </c>
      <c r="M259" s="69" t="e">
        <f t="shared" ref="L259:M262" si="23">MID(N259,1,P259-1)</f>
        <v>#VALUE!</v>
      </c>
      <c r="O259" s="76">
        <f t="shared" ref="O259:O260" si="24">LEN(N259)</f>
        <v>0</v>
      </c>
      <c r="P259" s="76" t="e">
        <f t="shared" ref="P259:P262" si="25">FIND("e",N259)</f>
        <v>#VALUE!</v>
      </c>
      <c r="Q259" s="77"/>
      <c r="R259" s="27">
        <v>0</v>
      </c>
      <c r="W259" s="49">
        <f t="shared" ref="W259:W262" si="26">ROUND(H259*100,2)</f>
        <v>0</v>
      </c>
      <c r="X259" s="28">
        <f t="shared" ref="X259:X262" si="27">ROUND(I259,0)</f>
        <v>0</v>
      </c>
    </row>
    <row r="260" spans="4:24" ht="15" x14ac:dyDescent="0.25">
      <c r="D260" s="53"/>
      <c r="E260" s="52"/>
      <c r="F260" s="54"/>
      <c r="G260" s="56"/>
      <c r="H260" s="61"/>
      <c r="I260" s="56"/>
      <c r="J260" s="59"/>
      <c r="L260" s="75" t="e">
        <v>#VALUE!</v>
      </c>
      <c r="M260" s="69" t="e">
        <f t="shared" si="23"/>
        <v>#VALUE!</v>
      </c>
      <c r="O260" s="76">
        <f t="shared" si="24"/>
        <v>0</v>
      </c>
      <c r="P260" s="76" t="e">
        <f t="shared" si="25"/>
        <v>#VALUE!</v>
      </c>
      <c r="Q260" s="77"/>
      <c r="R260" s="27">
        <v>0</v>
      </c>
      <c r="W260" s="49">
        <f t="shared" si="26"/>
        <v>0</v>
      </c>
      <c r="X260" s="28">
        <f t="shared" si="27"/>
        <v>0</v>
      </c>
    </row>
    <row r="261" spans="4:24" ht="15" x14ac:dyDescent="0.25">
      <c r="D261" s="53"/>
      <c r="E261" s="52"/>
      <c r="F261" s="54"/>
      <c r="G261" s="56"/>
      <c r="H261" s="61"/>
      <c r="I261" s="56"/>
      <c r="J261" s="59"/>
      <c r="L261" s="75" t="e">
        <v>#VALUE!</v>
      </c>
      <c r="M261" s="69" t="e">
        <f t="shared" si="23"/>
        <v>#VALUE!</v>
      </c>
      <c r="P261" s="76" t="e">
        <f t="shared" si="25"/>
        <v>#VALUE!</v>
      </c>
      <c r="Q261" s="77"/>
      <c r="R261" s="27">
        <v>0</v>
      </c>
      <c r="W261" s="49">
        <f t="shared" si="26"/>
        <v>0</v>
      </c>
      <c r="X261" s="28">
        <f t="shared" si="27"/>
        <v>0</v>
      </c>
    </row>
    <row r="262" spans="4:24" ht="15.75" thickBot="1" x14ac:dyDescent="0.3">
      <c r="D262" s="15"/>
      <c r="E262" s="16"/>
      <c r="F262" s="17"/>
      <c r="G262" s="18"/>
      <c r="H262" s="19"/>
      <c r="I262" s="18"/>
      <c r="J262" s="20"/>
      <c r="L262" s="75" t="e">
        <v>#VALUE!</v>
      </c>
      <c r="M262" s="69" t="e">
        <f t="shared" si="23"/>
        <v>#VALUE!</v>
      </c>
      <c r="P262" s="76" t="e">
        <f t="shared" si="25"/>
        <v>#VALUE!</v>
      </c>
      <c r="Q262" s="77"/>
      <c r="R262" s="27">
        <v>0</v>
      </c>
      <c r="W262" s="49">
        <f t="shared" si="26"/>
        <v>0</v>
      </c>
      <c r="X262" s="28">
        <f t="shared" si="27"/>
        <v>0</v>
      </c>
    </row>
    <row r="263" spans="4:24" x14ac:dyDescent="0.2">
      <c r="D263" s="1"/>
      <c r="E263" s="1"/>
      <c r="F263" s="1"/>
      <c r="G263" s="1"/>
      <c r="H263" s="1"/>
      <c r="I263" s="1"/>
      <c r="J263" s="1"/>
    </row>
    <row r="264" spans="4:24" x14ac:dyDescent="0.2">
      <c r="D264" s="1"/>
      <c r="E264" s="1"/>
      <c r="F264" s="1"/>
      <c r="G264" s="1"/>
      <c r="H264" s="1"/>
      <c r="I264" s="1"/>
      <c r="J264" s="1"/>
    </row>
    <row r="265" spans="4:24" x14ac:dyDescent="0.2">
      <c r="D265" s="1"/>
      <c r="E265" s="1"/>
      <c r="F265" s="1"/>
      <c r="G265" s="1"/>
      <c r="H265" s="1"/>
      <c r="I265" s="1"/>
      <c r="J265" s="1"/>
    </row>
    <row r="266" spans="4:24" x14ac:dyDescent="0.2">
      <c r="D266" s="1"/>
      <c r="E266" s="1"/>
      <c r="F266" s="1"/>
      <c r="G266" s="1"/>
      <c r="H266" s="1"/>
      <c r="I266" s="1"/>
      <c r="J266" s="1"/>
    </row>
    <row r="267" spans="4:24" x14ac:dyDescent="0.2">
      <c r="D267" s="21"/>
      <c r="E267" s="21"/>
      <c r="F267" s="21"/>
      <c r="G267" s="21"/>
      <c r="H267" s="21"/>
      <c r="I267" s="21"/>
      <c r="J267" s="21"/>
    </row>
    <row r="268" spans="4:24" x14ac:dyDescent="0.2">
      <c r="D268" s="21"/>
      <c r="E268" s="21"/>
      <c r="F268" s="21"/>
      <c r="G268" s="21"/>
      <c r="H268" s="21"/>
      <c r="I268" s="21"/>
      <c r="J268" s="21"/>
    </row>
    <row r="269" spans="4:24" x14ac:dyDescent="0.2">
      <c r="D269" s="21"/>
      <c r="E269" s="21"/>
      <c r="F269" s="21"/>
      <c r="G269" s="21"/>
      <c r="H269" s="21"/>
      <c r="I269" s="21"/>
      <c r="J269" s="21"/>
    </row>
    <row r="270" spans="4:24" x14ac:dyDescent="0.2">
      <c r="D270" s="21"/>
      <c r="E270" s="21"/>
      <c r="F270" s="21"/>
      <c r="G270" s="21"/>
      <c r="H270" s="21"/>
      <c r="I270" s="21"/>
      <c r="J270" s="21"/>
    </row>
    <row r="271" spans="4:24" x14ac:dyDescent="0.2">
      <c r="D271" s="21"/>
      <c r="E271" s="21"/>
      <c r="F271" s="21"/>
      <c r="G271" s="21"/>
      <c r="H271" s="21"/>
      <c r="I271" s="21"/>
      <c r="J271" s="21"/>
    </row>
  </sheetData>
  <autoFilter ref="D1:X262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Ergebnis_V1</vt:lpstr>
      <vt:lpstr>Ergebnis_V2</vt:lpstr>
      <vt:lpstr>Ergebnis_V3</vt:lpstr>
      <vt:lpstr>Gesamtergebnis</vt:lpstr>
      <vt:lpstr>Gesamt_ACCESS</vt:lpstr>
      <vt:lpstr>Gesamtergebnis_mit_Code</vt:lpstr>
      <vt:lpstr>Tabelle1</vt:lpstr>
      <vt:lpstr>Tabelle2</vt:lpstr>
    </vt:vector>
  </TitlesOfParts>
  <Company>Bundeswehr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Kremer, Marco</dc:creator>
  <cp:lastModifiedBy>Kremer, Marco</cp:lastModifiedBy>
  <dcterms:created xsi:type="dcterms:W3CDTF">2014-10-28T10:54:32Z</dcterms:created>
  <dcterms:modified xsi:type="dcterms:W3CDTF">2014-11-11T08:25:18Z</dcterms:modified>
</cp:coreProperties>
</file>